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eff46954de8517/Intenship1/Benard_Besong_Week 1_Banking/"/>
    </mc:Choice>
  </mc:AlternateContent>
  <xr:revisionPtr revIDLastSave="0" documentId="8_{24D4759D-D1DE-4104-A391-9944982E936E}" xr6:coauthVersionLast="47" xr6:coauthVersionMax="47" xr10:uidLastSave="{00000000-0000-0000-0000-000000000000}"/>
  <bookViews>
    <workbookView xWindow="-120" yWindow="-120" windowWidth="20730" windowHeight="11040" xr2:uid="{FF760AE0-17FA-4BF6-8D2B-102CECF9A4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1" l="1" a="1"/>
  <c r="C41" i="1" s="1"/>
  <c r="C40" i="1" a="1"/>
  <c r="C40" i="1" s="1"/>
  <c r="C39" i="1" a="1"/>
  <c r="C39" i="1" s="1"/>
  <c r="C38" i="1" a="1"/>
  <c r="C38" i="1" s="1"/>
  <c r="C37" i="1" a="1"/>
  <c r="C37" i="1" s="1"/>
  <c r="C36" i="1" a="1"/>
  <c r="C36" i="1" s="1"/>
  <c r="C35" i="1" a="1"/>
  <c r="C35" i="1" s="1"/>
  <c r="C34" i="1" a="1"/>
  <c r="C34" i="1" s="1"/>
  <c r="C33" i="1" a="1"/>
  <c r="C33" i="1" s="1"/>
  <c r="C32" i="1" a="1"/>
  <c r="C32" i="1" s="1"/>
  <c r="C31" i="1" a="1"/>
  <c r="C31" i="1" s="1"/>
  <c r="C30" i="1" a="1"/>
  <c r="C30" i="1" s="1"/>
  <c r="C29" i="1" a="1"/>
  <c r="C29" i="1" s="1"/>
  <c r="C28" i="1" a="1"/>
  <c r="C28" i="1" s="1"/>
  <c r="C27" i="1" a="1"/>
  <c r="C27" i="1" s="1"/>
  <c r="C26" i="1" a="1"/>
  <c r="C26" i="1" s="1"/>
  <c r="C25" i="1" a="1"/>
  <c r="C25" i="1" s="1"/>
  <c r="C24" i="1" a="1"/>
  <c r="C24" i="1" s="1"/>
  <c r="C23" i="1" a="1"/>
  <c r="C23" i="1" s="1"/>
  <c r="C22" i="1" a="1"/>
  <c r="C22" i="1" s="1"/>
  <c r="C21" i="1" a="1"/>
  <c r="C21" i="1" s="1"/>
  <c r="C20" i="1" a="1"/>
  <c r="C20" i="1" s="1"/>
  <c r="C19" i="1" a="1"/>
  <c r="C19" i="1" s="1"/>
  <c r="C18" i="1" a="1"/>
  <c r="C18" i="1" s="1"/>
  <c r="C17" i="1" a="1"/>
  <c r="C17" i="1" s="1"/>
  <c r="C16" i="1" a="1"/>
  <c r="C16" i="1" s="1"/>
  <c r="C15" i="1" a="1"/>
  <c r="C15" i="1" s="1"/>
  <c r="C14" i="1" a="1"/>
  <c r="C14" i="1" s="1"/>
  <c r="C13" i="1" a="1"/>
  <c r="C13" i="1" s="1"/>
  <c r="C12" i="1" a="1"/>
  <c r="C12" i="1" s="1"/>
  <c r="C11" i="1" a="1"/>
  <c r="C11" i="1" s="1"/>
  <c r="C10" i="1" a="1"/>
  <c r="C10" i="1" s="1"/>
  <c r="C9" i="1" a="1"/>
  <c r="C9" i="1" s="1"/>
  <c r="C8" i="1" a="1"/>
  <c r="C8" i="1" s="1"/>
  <c r="C7" i="1" a="1"/>
  <c r="C7" i="1" s="1"/>
  <c r="C6" i="1" a="1"/>
  <c r="C6" i="1" s="1"/>
  <c r="C5" i="1" a="1"/>
  <c r="C5" i="1" s="1"/>
  <c r="C4" i="1" a="1"/>
  <c r="C4" i="1" s="1"/>
  <c r="C3" i="1" a="1"/>
  <c r="C3" i="1" s="1"/>
  <c r="C2" i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<sst xmlns="http://schemas.openxmlformats.org/spreadsheetml/2006/main" count="665" uniqueCount="70">
  <si>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</si>
  <si>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</si>
  <si>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</si>
  <si>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</si>
  <si>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</si>
  <si>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</si>
  <si>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</si>
  <si>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</si>
  <si>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</si>
  <si>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</si>
  <si>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</si>
  <si>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</si>
  <si>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</si>
  <si>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</si>
  <si>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</si>
  <si>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</si>
  <si>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</si>
  <si>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</si>
  <si>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</si>
  <si>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</si>
  <si>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</si>
  <si>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</si>
  <si>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</si>
  <si>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</si>
  <si>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</si>
  <si>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</si>
  <si>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</si>
  <si>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</si>
  <si>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</si>
  <si>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</si>
  <si>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</si>
  <si>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</si>
  <si>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</si>
  <si>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</si>
  <si>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</si>
  <si>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No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</si>
  <si>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</si>
  <si>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</si>
  <si>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</si>
  <si>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</si>
  <si>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</si>
  <si>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</si>
  <si>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</si>
  <si>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</si>
  <si>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</si>
  <si>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gender</t>
  </si>
  <si>
    <t>age</t>
  </si>
  <si>
    <t>Age Category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</si>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</sst>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512DED-BA75-4037-8686-031DF274FD16}" name="Finance_Data" displayName="Finance_Data" ref="A1:Y41" totalsRowShown="0">
  <autoFilter ref="A1:Y41" xr:uid="{61512DED-BA75-4037-8686-031DF274FD16}"/>
  <tableColumns count="25">
    <tableColumn id="1" xr3:uid="{299ABE46-807D-418E-90D6-903E174FF90A}" name="gender"/>
    <tableColumn id="2" xr3:uid="{74E26375-F7E3-4C95-B877-EEA058114187}" name="age"/>
    <tableColumn id="26" xr3:uid="{487C0D5C-E9B7-4D50-9879-9466DE012115}" name="Age Category" dataDxfId="0">
      <calculatedColumnFormula array="1">_xlfn.IFS(Finance_Data[[#This Row],[age]]&lt;25, "Under 25", Finance_Data[[#This Row],[age]]&lt;=30, "25 - 30",Finance_Data[[#This Row],[age]]&gt;30, "31+",Finance_Data[[#This Row],[age]]&gt;=35,"35 - 40")</calculatedColumnFormula>
    </tableColumn>
    <tableColumn id="3" xr3:uid="{8924FC03-EAEF-4065-B485-25DFD5DD2F86}" name="Investment_Avenues"/>
    <tableColumn id="4" xr3:uid="{60F76799-EFAC-44F2-9B84-13770A07CBB5}" name="Mutual_Funds"/>
    <tableColumn id="5" xr3:uid="{99508E5C-CA06-4EFA-A10E-3057A82DC1A9}" name="Equity_Market"/>
    <tableColumn id="6" xr3:uid="{859308C9-05DD-4906-AD16-E2E12C501581}" name="Debentures"/>
    <tableColumn id="7" xr3:uid="{6714D7A0-2627-46F6-9195-B94DAE9C7C8D}" name="Government_Bonds"/>
    <tableColumn id="8" xr3:uid="{C96EA099-FCC5-4C2A-A618-0A4E6450D945}" name="Fixed_Deposits"/>
    <tableColumn id="9" xr3:uid="{4640C765-1ECF-4731-88BB-A426EFB7C91C}" name="PPF"/>
    <tableColumn id="10" xr3:uid="{5FE8737E-A9A8-4595-8EE9-C9AE3268FE02}" name="Gold"/>
    <tableColumn id="11" xr3:uid="{B5505D34-AB82-415B-8304-AEF309D5EF7A}" name="Stock_Market"/>
    <tableColumn id="12" xr3:uid="{317ABC13-07CF-4198-A12D-64A20A02CB7B}" name="Factor"/>
    <tableColumn id="13" xr3:uid="{F93E7FD2-8B65-4295-8C71-3DFFC1363E52}" name="Objective"/>
    <tableColumn id="14" xr3:uid="{85840E73-EEBB-4F9F-8FBA-F501ED8A2AD9}" name="Purpose"/>
    <tableColumn id="15" xr3:uid="{550A2B9C-7E0E-4DEF-833C-E14D8705556C}" name="Duration"/>
    <tableColumn id="16" xr3:uid="{387F3334-3507-4977-9E8D-21C7FEADE165}" name="Invest_Monitor"/>
    <tableColumn id="17" xr3:uid="{BF76F28A-D7C4-465A-8518-6082B7E7F40B}" name="Expect"/>
    <tableColumn id="18" xr3:uid="{EECD035A-8015-4AFF-88F7-C410105062C4}" name="Avenue"/>
    <tableColumn id="19" xr3:uid="{8C03269B-7028-4D96-BC8A-6D935D563F32}" name="What are your savings objectives?"/>
    <tableColumn id="20" xr3:uid="{64F0813B-BDEE-4A83-8A41-B082A6571BCA}" name="Reason_Equity"/>
    <tableColumn id="21" xr3:uid="{20D4C920-433A-4DDA-A93D-E91A04CB0785}" name="Reason_Mutual"/>
    <tableColumn id="22" xr3:uid="{8C2F71C7-D2AF-43D8-939C-1BDB033E048E}" name="Reason_Bonds"/>
    <tableColumn id="23" xr3:uid="{404CC096-A250-4431-8AD4-03315054D85E}" name="Reason_FD"/>
    <tableColumn id="24" xr3:uid="{89C61E3D-7753-43B2-B2B8-81E60870EA31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97993-8DCB-42D6-8182-DC9391A8B6FE}">
  <dimension ref="A1:Y41"/>
  <sheetViews>
    <sheetView tabSelected="1" workbookViewId="0">
      <selection sqref="A1:XFD1048576"/>
    </sheetView>
  </sheetViews>
  <sheetFormatPr defaultRowHeight="15" x14ac:dyDescent="0.25"/>
  <cols>
    <col min="1" max="1" width="9.42578125" customWidth="1"/>
    <col min="2" max="2" width="6.42578125" bestFit="1" customWidth="1"/>
    <col min="3" max="3" width="15" bestFit="1" customWidth="1"/>
    <col min="4" max="4" width="22" customWidth="1"/>
    <col min="5" max="5" width="15.85546875" customWidth="1"/>
    <col min="6" max="6" width="16.140625" customWidth="1"/>
    <col min="7" max="7" width="13.5703125" customWidth="1"/>
    <col min="8" max="8" width="20.85546875" customWidth="1"/>
    <col min="9" max="9" width="16.7109375" customWidth="1"/>
    <col min="10" max="10" width="6.42578125" customWidth="1"/>
    <col min="11" max="11" width="7.42578125" customWidth="1"/>
    <col min="12" max="12" width="16" customWidth="1"/>
    <col min="13" max="13" width="14" bestFit="1" customWidth="1"/>
    <col min="14" max="14" width="19.28515625" bestFit="1" customWidth="1"/>
    <col min="15" max="15" width="17" bestFit="1" customWidth="1"/>
    <col min="16" max="16" width="16.85546875" bestFit="1" customWidth="1"/>
    <col min="17" max="17" width="16.85546875" customWidth="1"/>
    <col min="18" max="18" width="9" customWidth="1"/>
    <col min="19" max="19" width="20.7109375" bestFit="1" customWidth="1"/>
    <col min="20" max="20" width="33.140625" customWidth="1"/>
    <col min="21" max="21" width="19.28515625" bestFit="1" customWidth="1"/>
    <col min="22" max="22" width="19" bestFit="1" customWidth="1"/>
    <col min="23" max="23" width="16" customWidth="1"/>
    <col min="24" max="24" width="18" bestFit="1" customWidth="1"/>
    <col min="25" max="25" width="26" bestFit="1" customWidth="1"/>
  </cols>
  <sheetData>
    <row r="1" spans="1:25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</row>
    <row r="2" spans="1:25" x14ac:dyDescent="0.25">
      <c r="A2" t="s">
        <v>0</v>
      </c>
      <c r="B2">
        <v>34</v>
      </c>
      <c r="C2" t="str" cm="1">
        <f t="array" ref="C2">_xlfn.IFS(Finance_Data[[#This Row],[age]]&lt;25, "Under 25", Finance_Data[[#This Row],[age]]&lt;=30, "25 - 30",Finance_Data[[#This Row],[age]]&gt;30, "31+",Finance_Data[[#This Row],[age]]&gt;=35,"35 - 40")</f>
        <v>31+</v>
      </c>
      <c r="D2" t="s">
        <v>1</v>
      </c>
      <c r="E2">
        <v>1</v>
      </c>
      <c r="F2">
        <v>2</v>
      </c>
      <c r="G2">
        <v>5</v>
      </c>
      <c r="H2">
        <v>3</v>
      </c>
      <c r="I2">
        <v>7</v>
      </c>
      <c r="J2">
        <v>6</v>
      </c>
      <c r="K2">
        <v>4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3</v>
      </c>
      <c r="V2" t="s">
        <v>10</v>
      </c>
      <c r="W2" t="s">
        <v>11</v>
      </c>
      <c r="X2" t="s">
        <v>12</v>
      </c>
      <c r="Y2" t="s">
        <v>13</v>
      </c>
    </row>
    <row r="3" spans="1:25" x14ac:dyDescent="0.25">
      <c r="A3" t="s">
        <v>0</v>
      </c>
      <c r="B3">
        <v>23</v>
      </c>
      <c r="C3" t="str" cm="1">
        <f t="array" ref="C3">_xlfn.IFS(Finance_Data[[#This Row],[age]]&lt;25, "Under 25", Finance_Data[[#This Row],[age]]&lt;=30, "25 - 30",Finance_Data[[#This Row],[age]]&gt;30, "31+",Finance_Data[[#This Row],[age]]&gt;=35,"35 - 40")</f>
        <v>Under 25</v>
      </c>
      <c r="D3" t="s">
        <v>1</v>
      </c>
      <c r="E3">
        <v>4</v>
      </c>
      <c r="F3">
        <v>3</v>
      </c>
      <c r="G3">
        <v>2</v>
      </c>
      <c r="H3">
        <v>1</v>
      </c>
      <c r="I3">
        <v>5</v>
      </c>
      <c r="J3">
        <v>6</v>
      </c>
      <c r="K3">
        <v>7</v>
      </c>
      <c r="L3" t="s">
        <v>14</v>
      </c>
      <c r="M3" t="s">
        <v>15</v>
      </c>
      <c r="N3" t="s">
        <v>3</v>
      </c>
      <c r="O3" t="s">
        <v>4</v>
      </c>
      <c r="P3" t="s">
        <v>16</v>
      </c>
      <c r="Q3" t="s">
        <v>17</v>
      </c>
      <c r="R3" t="s">
        <v>7</v>
      </c>
      <c r="S3" t="s">
        <v>8</v>
      </c>
      <c r="T3" t="s">
        <v>18</v>
      </c>
      <c r="U3" t="s">
        <v>19</v>
      </c>
      <c r="V3" t="s">
        <v>10</v>
      </c>
      <c r="W3" t="s">
        <v>11</v>
      </c>
      <c r="X3" t="s">
        <v>20</v>
      </c>
      <c r="Y3" t="s">
        <v>21</v>
      </c>
    </row>
    <row r="4" spans="1:25" x14ac:dyDescent="0.25">
      <c r="A4" t="s">
        <v>22</v>
      </c>
      <c r="B4">
        <v>30</v>
      </c>
      <c r="C4" t="str" cm="1">
        <f t="array" ref="C4">_xlfn.IFS(Finance_Data[[#This Row],[age]]&lt;25, "Under 25", Finance_Data[[#This Row],[age]]&lt;=30, "25 - 30",Finance_Data[[#This Row],[age]]&gt;30, "31+",Finance_Data[[#This Row],[age]]&gt;=35,"35 - 40")</f>
        <v>25 - 30</v>
      </c>
      <c r="D4" t="s">
        <v>1</v>
      </c>
      <c r="E4">
        <v>3</v>
      </c>
      <c r="F4">
        <v>6</v>
      </c>
      <c r="G4">
        <v>4</v>
      </c>
      <c r="H4">
        <v>2</v>
      </c>
      <c r="I4">
        <v>5</v>
      </c>
      <c r="J4">
        <v>1</v>
      </c>
      <c r="K4">
        <v>7</v>
      </c>
      <c r="L4" t="s">
        <v>1</v>
      </c>
      <c r="M4" t="s">
        <v>2</v>
      </c>
      <c r="N4" t="s">
        <v>3</v>
      </c>
      <c r="O4" t="s">
        <v>4</v>
      </c>
      <c r="P4" t="s">
        <v>23</v>
      </c>
      <c r="Q4" t="s">
        <v>24</v>
      </c>
      <c r="R4" t="s">
        <v>7</v>
      </c>
      <c r="S4" t="s">
        <v>25</v>
      </c>
      <c r="T4" t="s">
        <v>9</v>
      </c>
      <c r="U4" t="s">
        <v>3</v>
      </c>
      <c r="V4" t="s">
        <v>26</v>
      </c>
      <c r="W4" t="s">
        <v>27</v>
      </c>
      <c r="X4" t="s">
        <v>12</v>
      </c>
      <c r="Y4" t="s">
        <v>28</v>
      </c>
    </row>
    <row r="5" spans="1:25" x14ac:dyDescent="0.25">
      <c r="A5" t="s">
        <v>22</v>
      </c>
      <c r="B5">
        <v>22</v>
      </c>
      <c r="C5" t="str" cm="1">
        <f t="array" ref="C5">_xlfn.IFS(Finance_Data[[#This Row],[age]]&lt;25, "Under 25", Finance_Data[[#This Row],[age]]&lt;=30, "25 - 30",Finance_Data[[#This Row],[age]]&gt;30, "31+",Finance_Data[[#This Row],[age]]&gt;=35,"35 - 40")</f>
        <v>Under 25</v>
      </c>
      <c r="D5" t="s">
        <v>1</v>
      </c>
      <c r="E5">
        <v>2</v>
      </c>
      <c r="F5">
        <v>1</v>
      </c>
      <c r="G5">
        <v>3</v>
      </c>
      <c r="H5">
        <v>7</v>
      </c>
      <c r="I5">
        <v>6</v>
      </c>
      <c r="J5">
        <v>4</v>
      </c>
      <c r="K5">
        <v>5</v>
      </c>
      <c r="L5" t="s">
        <v>1</v>
      </c>
      <c r="M5" t="s">
        <v>2</v>
      </c>
      <c r="N5" t="s">
        <v>29</v>
      </c>
      <c r="O5" t="s">
        <v>4</v>
      </c>
      <c r="P5" t="s">
        <v>30</v>
      </c>
      <c r="Q5" t="s">
        <v>24</v>
      </c>
      <c r="R5" t="s">
        <v>31</v>
      </c>
      <c r="S5" t="s">
        <v>25</v>
      </c>
      <c r="T5" t="s">
        <v>9</v>
      </c>
      <c r="U5" t="s">
        <v>19</v>
      </c>
      <c r="V5" t="s">
        <v>32</v>
      </c>
      <c r="W5" t="s">
        <v>33</v>
      </c>
      <c r="X5" t="s">
        <v>20</v>
      </c>
      <c r="Y5" t="s">
        <v>34</v>
      </c>
    </row>
    <row r="6" spans="1:25" x14ac:dyDescent="0.25">
      <c r="A6" t="s">
        <v>0</v>
      </c>
      <c r="B6">
        <v>24</v>
      </c>
      <c r="C6" t="str" cm="1">
        <f t="array" ref="C6">_xlfn.IFS(Finance_Data[[#This Row],[age]]&lt;25, "Under 25", Finance_Data[[#This Row],[age]]&lt;=30, "25 - 30",Finance_Data[[#This Row],[age]]&gt;30, "31+",Finance_Data[[#This Row],[age]]&gt;=35,"35 - 40")</f>
        <v>Under 25</v>
      </c>
      <c r="D6" t="s">
        <v>35</v>
      </c>
      <c r="E6">
        <v>2</v>
      </c>
      <c r="F6">
        <v>1</v>
      </c>
      <c r="G6">
        <v>3</v>
      </c>
      <c r="H6">
        <v>6</v>
      </c>
      <c r="I6">
        <v>4</v>
      </c>
      <c r="J6">
        <v>5</v>
      </c>
      <c r="K6">
        <v>7</v>
      </c>
      <c r="L6" t="s">
        <v>35</v>
      </c>
      <c r="M6" t="s">
        <v>2</v>
      </c>
      <c r="N6" t="s">
        <v>29</v>
      </c>
      <c r="O6" t="s">
        <v>4</v>
      </c>
      <c r="P6" t="s">
        <v>30</v>
      </c>
      <c r="Q6" t="s">
        <v>24</v>
      </c>
      <c r="R6" t="s">
        <v>7</v>
      </c>
      <c r="S6" t="s">
        <v>25</v>
      </c>
      <c r="T6" t="s">
        <v>9</v>
      </c>
      <c r="U6" t="s">
        <v>3</v>
      </c>
      <c r="V6" t="s">
        <v>10</v>
      </c>
      <c r="W6" t="s">
        <v>11</v>
      </c>
      <c r="X6" t="s">
        <v>36</v>
      </c>
      <c r="Y6" t="s">
        <v>34</v>
      </c>
    </row>
    <row r="7" spans="1:25" x14ac:dyDescent="0.25">
      <c r="A7" t="s">
        <v>0</v>
      </c>
      <c r="B7">
        <v>24</v>
      </c>
      <c r="C7" t="str" cm="1">
        <f t="array" ref="C7">_xlfn.IFS(Finance_Data[[#This Row],[age]]&lt;25, "Under 25", Finance_Data[[#This Row],[age]]&lt;=30, "25 - 30",Finance_Data[[#This Row],[age]]&gt;30, "31+",Finance_Data[[#This Row],[age]]&gt;=35,"35 - 40")</f>
        <v>Under 25</v>
      </c>
      <c r="D7" t="s">
        <v>35</v>
      </c>
      <c r="E7">
        <v>7</v>
      </c>
      <c r="F7">
        <v>5</v>
      </c>
      <c r="G7">
        <v>4</v>
      </c>
      <c r="H7">
        <v>6</v>
      </c>
      <c r="I7">
        <v>3</v>
      </c>
      <c r="J7">
        <v>1</v>
      </c>
      <c r="K7">
        <v>2</v>
      </c>
      <c r="L7" t="s">
        <v>35</v>
      </c>
      <c r="M7" t="s">
        <v>37</v>
      </c>
      <c r="N7" t="s">
        <v>3</v>
      </c>
      <c r="O7" t="s">
        <v>4</v>
      </c>
      <c r="P7" t="s">
        <v>5</v>
      </c>
      <c r="Q7" t="s">
        <v>24</v>
      </c>
      <c r="R7" t="s">
        <v>38</v>
      </c>
      <c r="S7" t="s">
        <v>8</v>
      </c>
      <c r="T7" t="s">
        <v>9</v>
      </c>
      <c r="U7" t="s">
        <v>39</v>
      </c>
      <c r="V7" t="s">
        <v>32</v>
      </c>
      <c r="W7" t="s">
        <v>11</v>
      </c>
      <c r="X7" t="s">
        <v>36</v>
      </c>
      <c r="Y7" t="s">
        <v>34</v>
      </c>
    </row>
    <row r="8" spans="1:25" x14ac:dyDescent="0.25">
      <c r="A8" t="s">
        <v>0</v>
      </c>
      <c r="B8">
        <v>27</v>
      </c>
      <c r="C8" t="str" cm="1">
        <f t="array" ref="C8">_xlfn.IFS(Finance_Data[[#This Row],[age]]&lt;25, "Under 25", Finance_Data[[#This Row],[age]]&lt;=30, "25 - 30",Finance_Data[[#This Row],[age]]&gt;30, "31+",Finance_Data[[#This Row],[age]]&gt;=35,"35 - 40")</f>
        <v>25 - 30</v>
      </c>
      <c r="D8" t="s">
        <v>1</v>
      </c>
      <c r="E8">
        <v>3</v>
      </c>
      <c r="F8">
        <v>6</v>
      </c>
      <c r="G8">
        <v>4</v>
      </c>
      <c r="H8">
        <v>2</v>
      </c>
      <c r="I8">
        <v>5</v>
      </c>
      <c r="J8">
        <v>1</v>
      </c>
      <c r="K8">
        <v>7</v>
      </c>
      <c r="L8" t="s">
        <v>1</v>
      </c>
      <c r="M8" t="s">
        <v>2</v>
      </c>
      <c r="N8" t="s">
        <v>3</v>
      </c>
      <c r="O8" t="s">
        <v>4</v>
      </c>
      <c r="P8" t="s">
        <v>23</v>
      </c>
      <c r="Q8" t="s">
        <v>6</v>
      </c>
      <c r="R8" t="s">
        <v>7</v>
      </c>
      <c r="S8" t="s">
        <v>25</v>
      </c>
      <c r="T8" t="s">
        <v>9</v>
      </c>
      <c r="U8" t="s">
        <v>3</v>
      </c>
      <c r="V8" t="s">
        <v>10</v>
      </c>
      <c r="W8" t="s">
        <v>27</v>
      </c>
      <c r="X8" t="s">
        <v>20</v>
      </c>
      <c r="Y8" t="s">
        <v>21</v>
      </c>
    </row>
    <row r="9" spans="1:25" x14ac:dyDescent="0.25">
      <c r="A9" t="s">
        <v>22</v>
      </c>
      <c r="B9">
        <v>21</v>
      </c>
      <c r="C9" t="str" cm="1">
        <f t="array" ref="C9">_xlfn.IFS(Finance_Data[[#This Row],[age]]&lt;25, "Under 25", Finance_Data[[#This Row],[age]]&lt;=30, "25 - 30",Finance_Data[[#This Row],[age]]&gt;30, "31+",Finance_Data[[#This Row],[age]]&gt;=35,"35 - 40")</f>
        <v>Under 25</v>
      </c>
      <c r="D9" t="s">
        <v>1</v>
      </c>
      <c r="E9">
        <v>2</v>
      </c>
      <c r="F9">
        <v>3</v>
      </c>
      <c r="G9">
        <v>7</v>
      </c>
      <c r="H9">
        <v>4</v>
      </c>
      <c r="I9">
        <v>6</v>
      </c>
      <c r="J9">
        <v>1</v>
      </c>
      <c r="K9">
        <v>5</v>
      </c>
      <c r="L9" t="s">
        <v>1</v>
      </c>
      <c r="M9" t="s">
        <v>37</v>
      </c>
      <c r="N9" t="s">
        <v>3</v>
      </c>
      <c r="O9" t="s">
        <v>4</v>
      </c>
      <c r="P9" t="s">
        <v>23</v>
      </c>
      <c r="Q9" t="s">
        <v>6</v>
      </c>
      <c r="R9" t="s">
        <v>7</v>
      </c>
      <c r="S9" t="s">
        <v>8</v>
      </c>
      <c r="T9" t="s">
        <v>9</v>
      </c>
      <c r="U9" t="s">
        <v>3</v>
      </c>
      <c r="V9" t="s">
        <v>10</v>
      </c>
      <c r="W9" t="s">
        <v>27</v>
      </c>
      <c r="X9" t="s">
        <v>36</v>
      </c>
      <c r="Y9" t="s">
        <v>13</v>
      </c>
    </row>
    <row r="10" spans="1:25" x14ac:dyDescent="0.25">
      <c r="A10" t="s">
        <v>22</v>
      </c>
      <c r="B10">
        <v>35</v>
      </c>
      <c r="C10" t="str" cm="1">
        <f t="array" ref="C10">_xlfn.IFS(Finance_Data[[#This Row],[age]]&lt;25, "Under 25", Finance_Data[[#This Row],[age]]&lt;=30, "25 - 30",Finance_Data[[#This Row],[age]]&gt;30, "31+",Finance_Data[[#This Row],[age]]&gt;=35,"35 - 40")</f>
        <v>31+</v>
      </c>
      <c r="D10" t="s">
        <v>1</v>
      </c>
      <c r="E10">
        <v>2</v>
      </c>
      <c r="F10">
        <v>4</v>
      </c>
      <c r="G10">
        <v>7</v>
      </c>
      <c r="H10">
        <v>5</v>
      </c>
      <c r="I10">
        <v>3</v>
      </c>
      <c r="J10">
        <v>1</v>
      </c>
      <c r="K10">
        <v>6</v>
      </c>
      <c r="L10" t="s">
        <v>1</v>
      </c>
      <c r="M10" t="s">
        <v>2</v>
      </c>
      <c r="N10" t="s">
        <v>40</v>
      </c>
      <c r="O10" t="s">
        <v>41</v>
      </c>
      <c r="P10" t="s">
        <v>5</v>
      </c>
      <c r="Q10" t="s">
        <v>17</v>
      </c>
      <c r="R10" t="s">
        <v>7</v>
      </c>
      <c r="S10" t="s">
        <v>25</v>
      </c>
      <c r="T10" t="s">
        <v>9</v>
      </c>
      <c r="U10" t="s">
        <v>3</v>
      </c>
      <c r="V10" t="s">
        <v>32</v>
      </c>
      <c r="W10" t="s">
        <v>11</v>
      </c>
      <c r="X10" t="s">
        <v>12</v>
      </c>
      <c r="Y10" t="s">
        <v>28</v>
      </c>
    </row>
    <row r="11" spans="1:25" x14ac:dyDescent="0.25">
      <c r="A11" t="s">
        <v>22</v>
      </c>
      <c r="B11">
        <v>31</v>
      </c>
      <c r="C11" t="str" cm="1">
        <f t="array" ref="C11">_xlfn.IFS(Finance_Data[[#This Row],[age]]&lt;25, "Under 25", Finance_Data[[#This Row],[age]]&lt;=30, "25 - 30",Finance_Data[[#This Row],[age]]&gt;30, "31+",Finance_Data[[#This Row],[age]]&gt;=35,"35 - 40")</f>
        <v>31+</v>
      </c>
      <c r="D11" t="s">
        <v>1</v>
      </c>
      <c r="E11">
        <v>1</v>
      </c>
      <c r="F11">
        <v>3</v>
      </c>
      <c r="G11">
        <v>7</v>
      </c>
      <c r="H11">
        <v>4</v>
      </c>
      <c r="I11">
        <v>5</v>
      </c>
      <c r="J11">
        <v>2</v>
      </c>
      <c r="K11">
        <v>6</v>
      </c>
      <c r="L11" t="s">
        <v>1</v>
      </c>
      <c r="M11" t="s">
        <v>2</v>
      </c>
      <c r="N11" t="s">
        <v>3</v>
      </c>
      <c r="O11" t="s">
        <v>4</v>
      </c>
      <c r="P11" t="s">
        <v>23</v>
      </c>
      <c r="Q11" t="s">
        <v>6</v>
      </c>
      <c r="R11" t="s">
        <v>38</v>
      </c>
      <c r="S11" t="s">
        <v>42</v>
      </c>
      <c r="T11" t="s">
        <v>9</v>
      </c>
      <c r="U11" t="s">
        <v>3</v>
      </c>
      <c r="V11" t="s">
        <v>32</v>
      </c>
      <c r="W11" t="s">
        <v>27</v>
      </c>
      <c r="X11" t="s">
        <v>12</v>
      </c>
      <c r="Y11" t="s">
        <v>13</v>
      </c>
    </row>
    <row r="12" spans="1:25" x14ac:dyDescent="0.25">
      <c r="A12" t="s">
        <v>0</v>
      </c>
      <c r="B12">
        <v>35</v>
      </c>
      <c r="C12" t="str" cm="1">
        <f t="array" ref="C12">_xlfn.IFS(Finance_Data[[#This Row],[age]]&lt;25, "Under 25", Finance_Data[[#This Row],[age]]&lt;=30, "25 - 30",Finance_Data[[#This Row],[age]]&gt;30, "31+",Finance_Data[[#This Row],[age]]&gt;=35,"35 - 40")</f>
        <v>31+</v>
      </c>
      <c r="D12" t="s">
        <v>1</v>
      </c>
      <c r="E12">
        <v>2</v>
      </c>
      <c r="F12">
        <v>4</v>
      </c>
      <c r="G12">
        <v>7</v>
      </c>
      <c r="H12">
        <v>5</v>
      </c>
      <c r="I12">
        <v>3</v>
      </c>
      <c r="J12">
        <v>1</v>
      </c>
      <c r="K12">
        <v>6</v>
      </c>
      <c r="L12" t="s">
        <v>1</v>
      </c>
      <c r="M12" t="s">
        <v>37</v>
      </c>
      <c r="N12" t="s">
        <v>40</v>
      </c>
      <c r="O12" t="s">
        <v>41</v>
      </c>
      <c r="P12" t="s">
        <v>23</v>
      </c>
      <c r="Q12" t="s">
        <v>6</v>
      </c>
      <c r="R12" t="s">
        <v>7</v>
      </c>
      <c r="S12" t="s">
        <v>8</v>
      </c>
      <c r="T12" t="s">
        <v>9</v>
      </c>
      <c r="U12" t="s">
        <v>3</v>
      </c>
      <c r="V12" t="s">
        <v>10</v>
      </c>
      <c r="W12" t="s">
        <v>27</v>
      </c>
      <c r="X12" t="s">
        <v>36</v>
      </c>
      <c r="Y12" t="s">
        <v>21</v>
      </c>
    </row>
    <row r="13" spans="1:25" x14ac:dyDescent="0.25">
      <c r="A13" t="s">
        <v>22</v>
      </c>
      <c r="B13">
        <v>29</v>
      </c>
      <c r="C13" t="str" cm="1">
        <f t="array" ref="C13">_xlfn.IFS(Finance_Data[[#This Row],[age]]&lt;25, "Under 25", Finance_Data[[#This Row],[age]]&lt;=30, "25 - 30",Finance_Data[[#This Row],[age]]&gt;30, "31+",Finance_Data[[#This Row],[age]]&gt;=35,"35 - 40")</f>
        <v>25 - 30</v>
      </c>
      <c r="D13" t="s">
        <v>1</v>
      </c>
      <c r="E13">
        <v>2</v>
      </c>
      <c r="F13">
        <v>5</v>
      </c>
      <c r="G13">
        <v>7</v>
      </c>
      <c r="H13">
        <v>6</v>
      </c>
      <c r="I13">
        <v>3</v>
      </c>
      <c r="J13">
        <v>1</v>
      </c>
      <c r="K13">
        <v>4</v>
      </c>
      <c r="L13" t="s">
        <v>1</v>
      </c>
      <c r="M13" t="s">
        <v>37</v>
      </c>
      <c r="N13" t="s">
        <v>3</v>
      </c>
      <c r="O13" t="s">
        <v>4</v>
      </c>
      <c r="P13" t="s">
        <v>5</v>
      </c>
      <c r="Q13" t="s">
        <v>6</v>
      </c>
      <c r="R13" t="s">
        <v>7</v>
      </c>
      <c r="S13" t="s">
        <v>8</v>
      </c>
      <c r="T13" t="s">
        <v>9</v>
      </c>
      <c r="U13" t="s">
        <v>3</v>
      </c>
      <c r="V13" t="s">
        <v>32</v>
      </c>
      <c r="W13" t="s">
        <v>27</v>
      </c>
      <c r="X13" t="s">
        <v>12</v>
      </c>
      <c r="Y13" t="s">
        <v>21</v>
      </c>
    </row>
    <row r="14" spans="1:25" x14ac:dyDescent="0.25">
      <c r="A14" t="s">
        <v>0</v>
      </c>
      <c r="B14">
        <v>21</v>
      </c>
      <c r="C14" t="str" cm="1">
        <f t="array" ref="C14">_xlfn.IFS(Finance_Data[[#This Row],[age]]&lt;25, "Under 25", Finance_Data[[#This Row],[age]]&lt;=30, "25 - 30",Finance_Data[[#This Row],[age]]&gt;30, "31+",Finance_Data[[#This Row],[age]]&gt;=35,"35 - 40")</f>
        <v>Under 25</v>
      </c>
      <c r="D14" t="s">
        <v>35</v>
      </c>
      <c r="E14">
        <v>1</v>
      </c>
      <c r="F14">
        <v>2</v>
      </c>
      <c r="G14">
        <v>3</v>
      </c>
      <c r="H14">
        <v>4</v>
      </c>
      <c r="I14">
        <v>5</v>
      </c>
      <c r="J14">
        <v>6</v>
      </c>
      <c r="K14">
        <v>7</v>
      </c>
      <c r="L14" t="s">
        <v>35</v>
      </c>
      <c r="M14" t="s">
        <v>2</v>
      </c>
      <c r="N14" t="s">
        <v>3</v>
      </c>
      <c r="O14" t="s">
        <v>41</v>
      </c>
      <c r="P14" t="s">
        <v>5</v>
      </c>
      <c r="Q14" t="s">
        <v>17</v>
      </c>
      <c r="R14" t="s">
        <v>7</v>
      </c>
      <c r="S14" t="s">
        <v>8</v>
      </c>
      <c r="T14" t="s">
        <v>43</v>
      </c>
      <c r="U14" t="s">
        <v>19</v>
      </c>
      <c r="V14" t="s">
        <v>10</v>
      </c>
      <c r="W14" t="s">
        <v>11</v>
      </c>
      <c r="X14" t="s">
        <v>36</v>
      </c>
      <c r="Y14" t="s">
        <v>34</v>
      </c>
    </row>
    <row r="15" spans="1:25" x14ac:dyDescent="0.25">
      <c r="A15" t="s">
        <v>0</v>
      </c>
      <c r="B15">
        <v>28</v>
      </c>
      <c r="C15" t="str" cm="1">
        <f t="array" ref="C15">_xlfn.IFS(Finance_Data[[#This Row],[age]]&lt;25, "Under 25", Finance_Data[[#This Row],[age]]&lt;=30, "25 - 30",Finance_Data[[#This Row],[age]]&gt;30, "31+",Finance_Data[[#This Row],[age]]&gt;=35,"35 - 40")</f>
        <v>25 - 30</v>
      </c>
      <c r="D15" t="s">
        <v>1</v>
      </c>
      <c r="E15">
        <v>2</v>
      </c>
      <c r="F15">
        <v>3</v>
      </c>
      <c r="G15">
        <v>7</v>
      </c>
      <c r="H15">
        <v>4</v>
      </c>
      <c r="I15">
        <v>5</v>
      </c>
      <c r="J15">
        <v>1</v>
      </c>
      <c r="K15">
        <v>6</v>
      </c>
      <c r="L15" t="s">
        <v>1</v>
      </c>
      <c r="M15" t="s">
        <v>2</v>
      </c>
      <c r="N15" t="s">
        <v>3</v>
      </c>
      <c r="O15" t="s">
        <v>4</v>
      </c>
      <c r="P15" t="s">
        <v>5</v>
      </c>
      <c r="Q15" t="s">
        <v>6</v>
      </c>
      <c r="R15" t="s">
        <v>7</v>
      </c>
      <c r="S15" t="s">
        <v>8</v>
      </c>
      <c r="T15" t="s">
        <v>9</v>
      </c>
      <c r="U15" t="s">
        <v>3</v>
      </c>
      <c r="V15" t="s">
        <v>32</v>
      </c>
      <c r="W15" t="s">
        <v>27</v>
      </c>
      <c r="X15" t="s">
        <v>36</v>
      </c>
      <c r="Y15" t="s">
        <v>13</v>
      </c>
    </row>
    <row r="16" spans="1:25" x14ac:dyDescent="0.25">
      <c r="A16" t="s">
        <v>0</v>
      </c>
      <c r="B16">
        <v>25</v>
      </c>
      <c r="C16" t="str" cm="1">
        <f t="array" ref="C16">_xlfn.IFS(Finance_Data[[#This Row],[age]]&lt;25, "Under 25", Finance_Data[[#This Row],[age]]&lt;=30, "25 - 30",Finance_Data[[#This Row],[age]]&gt;30, "31+",Finance_Data[[#This Row],[age]]&gt;=35,"35 - 40")</f>
        <v>25 - 30</v>
      </c>
      <c r="D16" t="s">
        <v>1</v>
      </c>
      <c r="E16">
        <v>2</v>
      </c>
      <c r="F16">
        <v>3</v>
      </c>
      <c r="G16">
        <v>7</v>
      </c>
      <c r="H16">
        <v>5</v>
      </c>
      <c r="I16">
        <v>4</v>
      </c>
      <c r="J16">
        <v>1</v>
      </c>
      <c r="K16">
        <v>6</v>
      </c>
      <c r="L16" t="s">
        <v>1</v>
      </c>
      <c r="M16" t="s">
        <v>2</v>
      </c>
      <c r="N16" t="s">
        <v>3</v>
      </c>
      <c r="O16" t="s">
        <v>4</v>
      </c>
      <c r="P16" t="s">
        <v>5</v>
      </c>
      <c r="Q16" t="s">
        <v>6</v>
      </c>
      <c r="R16" t="s">
        <v>7</v>
      </c>
      <c r="S16" t="s">
        <v>42</v>
      </c>
      <c r="T16" t="s">
        <v>18</v>
      </c>
      <c r="U16" t="s">
        <v>19</v>
      </c>
      <c r="V16" t="s">
        <v>10</v>
      </c>
      <c r="W16" t="s">
        <v>27</v>
      </c>
      <c r="X16" t="s">
        <v>36</v>
      </c>
      <c r="Y16" t="s">
        <v>21</v>
      </c>
    </row>
    <row r="17" spans="1:25" x14ac:dyDescent="0.25">
      <c r="A17" t="s">
        <v>22</v>
      </c>
      <c r="B17">
        <v>27</v>
      </c>
      <c r="C17" t="str" cm="1">
        <f t="array" ref="C17">_xlfn.IFS(Finance_Data[[#This Row],[age]]&lt;25, "Under 25", Finance_Data[[#This Row],[age]]&lt;=30, "25 - 30",Finance_Data[[#This Row],[age]]&gt;30, "31+",Finance_Data[[#This Row],[age]]&gt;=35,"35 - 40")</f>
        <v>25 - 30</v>
      </c>
      <c r="D17" t="s">
        <v>1</v>
      </c>
      <c r="E17">
        <v>2</v>
      </c>
      <c r="F17">
        <v>3</v>
      </c>
      <c r="G17">
        <v>7</v>
      </c>
      <c r="H17">
        <v>5</v>
      </c>
      <c r="I17">
        <v>4</v>
      </c>
      <c r="J17">
        <v>1</v>
      </c>
      <c r="K17">
        <v>6</v>
      </c>
      <c r="L17" t="s">
        <v>1</v>
      </c>
      <c r="M17" t="s">
        <v>2</v>
      </c>
      <c r="N17" t="s">
        <v>3</v>
      </c>
      <c r="O17" t="s">
        <v>4</v>
      </c>
      <c r="P17" t="s">
        <v>5</v>
      </c>
      <c r="Q17" t="s">
        <v>6</v>
      </c>
      <c r="R17" t="s">
        <v>7</v>
      </c>
      <c r="S17" t="s">
        <v>8</v>
      </c>
      <c r="T17" t="s">
        <v>18</v>
      </c>
      <c r="U17" t="s">
        <v>3</v>
      </c>
      <c r="V17" t="s">
        <v>32</v>
      </c>
      <c r="W17" t="s">
        <v>27</v>
      </c>
      <c r="X17" t="s">
        <v>36</v>
      </c>
      <c r="Y17" t="s">
        <v>13</v>
      </c>
    </row>
    <row r="18" spans="1:25" x14ac:dyDescent="0.25">
      <c r="A18" t="s">
        <v>0</v>
      </c>
      <c r="B18">
        <v>28</v>
      </c>
      <c r="C18" t="str" cm="1">
        <f t="array" ref="C18">_xlfn.IFS(Finance_Data[[#This Row],[age]]&lt;25, "Under 25", Finance_Data[[#This Row],[age]]&lt;=30, "25 - 30",Finance_Data[[#This Row],[age]]&gt;30, "31+",Finance_Data[[#This Row],[age]]&gt;=35,"35 - 40")</f>
        <v>25 - 30</v>
      </c>
      <c r="D18" t="s">
        <v>1</v>
      </c>
      <c r="E18">
        <v>3</v>
      </c>
      <c r="F18">
        <v>2</v>
      </c>
      <c r="G18">
        <v>7</v>
      </c>
      <c r="H18">
        <v>5</v>
      </c>
      <c r="I18">
        <v>4</v>
      </c>
      <c r="J18">
        <v>1</v>
      </c>
      <c r="K18">
        <v>6</v>
      </c>
      <c r="L18" t="s">
        <v>1</v>
      </c>
      <c r="M18" t="s">
        <v>37</v>
      </c>
      <c r="N18" t="s">
        <v>40</v>
      </c>
      <c r="O18" t="s">
        <v>4</v>
      </c>
      <c r="P18" t="s">
        <v>5</v>
      </c>
      <c r="Q18" t="s">
        <v>6</v>
      </c>
      <c r="R18" t="s">
        <v>7</v>
      </c>
      <c r="S18" t="s">
        <v>42</v>
      </c>
      <c r="T18" t="s">
        <v>18</v>
      </c>
      <c r="U18" t="s">
        <v>3</v>
      </c>
      <c r="V18" t="s">
        <v>32</v>
      </c>
      <c r="W18" t="s">
        <v>27</v>
      </c>
      <c r="X18" t="s">
        <v>36</v>
      </c>
      <c r="Y18" t="s">
        <v>28</v>
      </c>
    </row>
    <row r="19" spans="1:25" x14ac:dyDescent="0.25">
      <c r="A19" t="s">
        <v>22</v>
      </c>
      <c r="B19">
        <v>27</v>
      </c>
      <c r="C19" t="str" cm="1">
        <f t="array" ref="C19">_xlfn.IFS(Finance_Data[[#This Row],[age]]&lt;25, "Under 25", Finance_Data[[#This Row],[age]]&lt;=30, "25 - 30",Finance_Data[[#This Row],[age]]&gt;30, "31+",Finance_Data[[#This Row],[age]]&gt;=35,"35 - 40")</f>
        <v>25 - 30</v>
      </c>
      <c r="D19" t="s">
        <v>1</v>
      </c>
      <c r="E19">
        <v>3</v>
      </c>
      <c r="F19">
        <v>2</v>
      </c>
      <c r="G19">
        <v>7</v>
      </c>
      <c r="H19">
        <v>4</v>
      </c>
      <c r="I19">
        <v>5</v>
      </c>
      <c r="J19">
        <v>1</v>
      </c>
      <c r="K19">
        <v>6</v>
      </c>
      <c r="L19" t="s">
        <v>1</v>
      </c>
      <c r="M19" t="s">
        <v>2</v>
      </c>
      <c r="N19" t="s">
        <v>3</v>
      </c>
      <c r="O19" t="s">
        <v>4</v>
      </c>
      <c r="P19" t="s">
        <v>5</v>
      </c>
      <c r="Q19" t="s">
        <v>6</v>
      </c>
      <c r="R19" t="s">
        <v>7</v>
      </c>
      <c r="S19" t="s">
        <v>8</v>
      </c>
      <c r="T19" t="s">
        <v>9</v>
      </c>
      <c r="U19" t="s">
        <v>3</v>
      </c>
      <c r="V19" t="s">
        <v>10</v>
      </c>
      <c r="W19" t="s">
        <v>27</v>
      </c>
      <c r="X19" t="s">
        <v>36</v>
      </c>
      <c r="Y19" t="s">
        <v>21</v>
      </c>
    </row>
    <row r="20" spans="1:25" x14ac:dyDescent="0.25">
      <c r="A20" t="s">
        <v>22</v>
      </c>
      <c r="B20">
        <v>29</v>
      </c>
      <c r="C20" t="str" cm="1">
        <f t="array" ref="C20">_xlfn.IFS(Finance_Data[[#This Row],[age]]&lt;25, "Under 25", Finance_Data[[#This Row],[age]]&lt;=30, "25 - 30",Finance_Data[[#This Row],[age]]&gt;30, "31+",Finance_Data[[#This Row],[age]]&gt;=35,"35 - 40")</f>
        <v>25 - 30</v>
      </c>
      <c r="D20" t="s">
        <v>1</v>
      </c>
      <c r="E20">
        <v>3</v>
      </c>
      <c r="F20">
        <v>2</v>
      </c>
      <c r="G20">
        <v>7</v>
      </c>
      <c r="H20">
        <v>4</v>
      </c>
      <c r="I20">
        <v>5</v>
      </c>
      <c r="J20">
        <v>1</v>
      </c>
      <c r="K20">
        <v>6</v>
      </c>
      <c r="L20" t="s">
        <v>1</v>
      </c>
      <c r="M20" t="s">
        <v>37</v>
      </c>
      <c r="N20" t="s">
        <v>3</v>
      </c>
      <c r="O20" t="s">
        <v>4</v>
      </c>
      <c r="P20" t="s">
        <v>5</v>
      </c>
      <c r="Q20" t="s">
        <v>6</v>
      </c>
      <c r="R20" t="s">
        <v>7</v>
      </c>
      <c r="S20" t="s">
        <v>8</v>
      </c>
      <c r="T20" t="s">
        <v>9</v>
      </c>
      <c r="U20" t="s">
        <v>3</v>
      </c>
      <c r="V20" t="s">
        <v>10</v>
      </c>
      <c r="W20" t="s">
        <v>27</v>
      </c>
      <c r="X20" t="s">
        <v>36</v>
      </c>
      <c r="Y20" t="s">
        <v>13</v>
      </c>
    </row>
    <row r="21" spans="1:25" x14ac:dyDescent="0.25">
      <c r="A21" t="s">
        <v>22</v>
      </c>
      <c r="B21">
        <v>26</v>
      </c>
      <c r="C21" t="str" cm="1">
        <f t="array" ref="C21">_xlfn.IFS(Finance_Data[[#This Row],[age]]&lt;25, "Under 25", Finance_Data[[#This Row],[age]]&lt;=30, "25 - 30",Finance_Data[[#This Row],[age]]&gt;30, "31+",Finance_Data[[#This Row],[age]]&gt;=35,"35 - 40")</f>
        <v>25 - 30</v>
      </c>
      <c r="D21" t="s">
        <v>1</v>
      </c>
      <c r="E21">
        <v>3</v>
      </c>
      <c r="F21">
        <v>4</v>
      </c>
      <c r="G21">
        <v>6</v>
      </c>
      <c r="H21">
        <v>5</v>
      </c>
      <c r="I21">
        <v>1</v>
      </c>
      <c r="J21">
        <v>2</v>
      </c>
      <c r="K21">
        <v>7</v>
      </c>
      <c r="L21" t="s">
        <v>1</v>
      </c>
      <c r="M21" t="s">
        <v>37</v>
      </c>
      <c r="N21" t="s">
        <v>3</v>
      </c>
      <c r="O21" t="s">
        <v>4</v>
      </c>
      <c r="P21" t="s">
        <v>23</v>
      </c>
      <c r="Q21" t="s">
        <v>6</v>
      </c>
      <c r="R21" t="s">
        <v>7</v>
      </c>
      <c r="S21" t="s">
        <v>42</v>
      </c>
      <c r="T21" t="s">
        <v>18</v>
      </c>
      <c r="U21" t="s">
        <v>3</v>
      </c>
      <c r="V21" t="s">
        <v>32</v>
      </c>
      <c r="W21" t="s">
        <v>27</v>
      </c>
      <c r="X21" t="s">
        <v>36</v>
      </c>
      <c r="Y21" t="s">
        <v>13</v>
      </c>
    </row>
    <row r="22" spans="1:25" x14ac:dyDescent="0.25">
      <c r="A22" t="s">
        <v>22</v>
      </c>
      <c r="B22">
        <v>29</v>
      </c>
      <c r="C22" t="str" cm="1">
        <f t="array" ref="C22">_xlfn.IFS(Finance_Data[[#This Row],[age]]&lt;25, "Under 25", Finance_Data[[#This Row],[age]]&lt;=30, "25 - 30",Finance_Data[[#This Row],[age]]&gt;30, "31+",Finance_Data[[#This Row],[age]]&gt;=35,"35 - 40")</f>
        <v>25 - 30</v>
      </c>
      <c r="D22" t="s">
        <v>1</v>
      </c>
      <c r="E22">
        <v>2</v>
      </c>
      <c r="F22">
        <v>4</v>
      </c>
      <c r="G22">
        <v>7</v>
      </c>
      <c r="H22">
        <v>5</v>
      </c>
      <c r="I22">
        <v>3</v>
      </c>
      <c r="J22">
        <v>1</v>
      </c>
      <c r="K22">
        <v>6</v>
      </c>
      <c r="L22" t="s">
        <v>1</v>
      </c>
      <c r="M22" t="s">
        <v>2</v>
      </c>
      <c r="N22" t="s">
        <v>40</v>
      </c>
      <c r="O22" t="s">
        <v>4</v>
      </c>
      <c r="P22" t="s">
        <v>23</v>
      </c>
      <c r="Q22" t="s">
        <v>17</v>
      </c>
      <c r="R22" t="s">
        <v>7</v>
      </c>
      <c r="S22" t="s">
        <v>8</v>
      </c>
      <c r="T22" t="s">
        <v>9</v>
      </c>
      <c r="U22" t="s">
        <v>3</v>
      </c>
      <c r="V22" t="s">
        <v>10</v>
      </c>
      <c r="W22" t="s">
        <v>27</v>
      </c>
      <c r="X22" t="s">
        <v>12</v>
      </c>
      <c r="Y22" t="s">
        <v>21</v>
      </c>
    </row>
    <row r="23" spans="1:25" x14ac:dyDescent="0.25">
      <c r="A23" t="s">
        <v>0</v>
      </c>
      <c r="B23">
        <v>24</v>
      </c>
      <c r="C23" t="str" cm="1">
        <f t="array" ref="C23">_xlfn.IFS(Finance_Data[[#This Row],[age]]&lt;25, "Under 25", Finance_Data[[#This Row],[age]]&lt;=30, "25 - 30",Finance_Data[[#This Row],[age]]&gt;30, "31+",Finance_Data[[#This Row],[age]]&gt;=35,"35 - 40")</f>
        <v>Under 25</v>
      </c>
      <c r="D23" t="s">
        <v>1</v>
      </c>
      <c r="E23">
        <v>2</v>
      </c>
      <c r="F23">
        <v>4</v>
      </c>
      <c r="G23">
        <v>5</v>
      </c>
      <c r="H23">
        <v>6</v>
      </c>
      <c r="I23">
        <v>3</v>
      </c>
      <c r="J23">
        <v>1</v>
      </c>
      <c r="K23">
        <v>7</v>
      </c>
      <c r="L23" t="s">
        <v>1</v>
      </c>
      <c r="M23" t="s">
        <v>37</v>
      </c>
      <c r="N23" t="s">
        <v>3</v>
      </c>
      <c r="O23" t="s">
        <v>4</v>
      </c>
      <c r="P23" t="s">
        <v>23</v>
      </c>
      <c r="Q23" t="s">
        <v>6</v>
      </c>
      <c r="R23" t="s">
        <v>7</v>
      </c>
      <c r="S23" t="s">
        <v>25</v>
      </c>
      <c r="T23" t="s">
        <v>18</v>
      </c>
      <c r="U23" t="s">
        <v>3</v>
      </c>
      <c r="V23" t="s">
        <v>10</v>
      </c>
      <c r="W23" t="s">
        <v>27</v>
      </c>
      <c r="X23" t="s">
        <v>36</v>
      </c>
      <c r="Y23" t="s">
        <v>13</v>
      </c>
    </row>
    <row r="24" spans="1:25" x14ac:dyDescent="0.25">
      <c r="A24" t="s">
        <v>22</v>
      </c>
      <c r="B24">
        <v>27</v>
      </c>
      <c r="C24" t="str" cm="1">
        <f t="array" ref="C24">_xlfn.IFS(Finance_Data[[#This Row],[age]]&lt;25, "Under 25", Finance_Data[[#This Row],[age]]&lt;=30, "25 - 30",Finance_Data[[#This Row],[age]]&gt;30, "31+",Finance_Data[[#This Row],[age]]&gt;=35,"35 - 40")</f>
        <v>25 - 30</v>
      </c>
      <c r="D24" t="s">
        <v>1</v>
      </c>
      <c r="E24">
        <v>3</v>
      </c>
      <c r="F24">
        <v>4</v>
      </c>
      <c r="G24">
        <v>6</v>
      </c>
      <c r="H24">
        <v>5</v>
      </c>
      <c r="I24">
        <v>2</v>
      </c>
      <c r="J24">
        <v>1</v>
      </c>
      <c r="K24">
        <v>7</v>
      </c>
      <c r="L24" t="s">
        <v>1</v>
      </c>
      <c r="M24" t="s">
        <v>2</v>
      </c>
      <c r="N24" t="s">
        <v>3</v>
      </c>
      <c r="O24" t="s">
        <v>4</v>
      </c>
      <c r="P24" t="s">
        <v>23</v>
      </c>
      <c r="Q24" t="s">
        <v>6</v>
      </c>
      <c r="R24" t="s">
        <v>7</v>
      </c>
      <c r="S24" t="s">
        <v>8</v>
      </c>
      <c r="T24" t="s">
        <v>9</v>
      </c>
      <c r="U24" t="s">
        <v>3</v>
      </c>
      <c r="V24" t="s">
        <v>10</v>
      </c>
      <c r="W24" t="s">
        <v>27</v>
      </c>
      <c r="X24" t="s">
        <v>36</v>
      </c>
      <c r="Y24" t="s">
        <v>21</v>
      </c>
    </row>
    <row r="25" spans="1:25" x14ac:dyDescent="0.25">
      <c r="A25" t="s">
        <v>22</v>
      </c>
      <c r="B25">
        <v>25</v>
      </c>
      <c r="C25" t="str" cm="1">
        <f t="array" ref="C25">_xlfn.IFS(Finance_Data[[#This Row],[age]]&lt;25, "Under 25", Finance_Data[[#This Row],[age]]&lt;=30, "25 - 30",Finance_Data[[#This Row],[age]]&gt;30, "31+",Finance_Data[[#This Row],[age]]&gt;=35,"35 - 40")</f>
        <v>25 - 30</v>
      </c>
      <c r="D25" t="s">
        <v>1</v>
      </c>
      <c r="E25">
        <v>2</v>
      </c>
      <c r="F25">
        <v>4</v>
      </c>
      <c r="G25">
        <v>6</v>
      </c>
      <c r="H25">
        <v>5</v>
      </c>
      <c r="I25">
        <v>3</v>
      </c>
      <c r="J25">
        <v>1</v>
      </c>
      <c r="K25">
        <v>7</v>
      </c>
      <c r="L25" t="s">
        <v>1</v>
      </c>
      <c r="M25" t="s">
        <v>37</v>
      </c>
      <c r="N25" t="s">
        <v>40</v>
      </c>
      <c r="O25" t="s">
        <v>41</v>
      </c>
      <c r="P25" t="s">
        <v>23</v>
      </c>
      <c r="Q25" t="s">
        <v>17</v>
      </c>
      <c r="R25" t="s">
        <v>7</v>
      </c>
      <c r="S25" t="s">
        <v>44</v>
      </c>
      <c r="T25" t="s">
        <v>18</v>
      </c>
      <c r="U25" t="s">
        <v>39</v>
      </c>
      <c r="V25" t="s">
        <v>10</v>
      </c>
      <c r="W25" t="s">
        <v>27</v>
      </c>
      <c r="X25" t="s">
        <v>36</v>
      </c>
      <c r="Y25" t="s">
        <v>21</v>
      </c>
    </row>
    <row r="26" spans="1:25" x14ac:dyDescent="0.25">
      <c r="A26" t="s">
        <v>0</v>
      </c>
      <c r="B26">
        <v>26</v>
      </c>
      <c r="C26" t="str" cm="1">
        <f t="array" ref="C26">_xlfn.IFS(Finance_Data[[#This Row],[age]]&lt;25, "Under 25", Finance_Data[[#This Row],[age]]&lt;=30, "25 - 30",Finance_Data[[#This Row],[age]]&gt;30, "31+",Finance_Data[[#This Row],[age]]&gt;=35,"35 - 40")</f>
        <v>25 - 30</v>
      </c>
      <c r="D26" t="s">
        <v>1</v>
      </c>
      <c r="E26">
        <v>2</v>
      </c>
      <c r="F26">
        <v>3</v>
      </c>
      <c r="G26">
        <v>7</v>
      </c>
      <c r="H26">
        <v>5</v>
      </c>
      <c r="I26">
        <v>4</v>
      </c>
      <c r="J26">
        <v>1</v>
      </c>
      <c r="K26">
        <v>6</v>
      </c>
      <c r="L26" t="s">
        <v>1</v>
      </c>
      <c r="M26" t="s">
        <v>2</v>
      </c>
      <c r="N26" t="s">
        <v>3</v>
      </c>
      <c r="O26" t="s">
        <v>4</v>
      </c>
      <c r="P26" t="s">
        <v>23</v>
      </c>
      <c r="Q26" t="s">
        <v>6</v>
      </c>
      <c r="R26" t="s">
        <v>38</v>
      </c>
      <c r="S26" t="s">
        <v>44</v>
      </c>
      <c r="T26" t="s">
        <v>9</v>
      </c>
      <c r="U26" t="s">
        <v>3</v>
      </c>
      <c r="V26" t="s">
        <v>10</v>
      </c>
      <c r="W26" t="s">
        <v>27</v>
      </c>
      <c r="X26" t="s">
        <v>36</v>
      </c>
      <c r="Y26" t="s">
        <v>13</v>
      </c>
    </row>
    <row r="27" spans="1:25" x14ac:dyDescent="0.25">
      <c r="A27" t="s">
        <v>0</v>
      </c>
      <c r="B27">
        <v>32</v>
      </c>
      <c r="C27" t="str" cm="1">
        <f t="array" ref="C27">_xlfn.IFS(Finance_Data[[#This Row],[age]]&lt;25, "Under 25", Finance_Data[[#This Row],[age]]&lt;=30, "25 - 30",Finance_Data[[#This Row],[age]]&gt;30, "31+",Finance_Data[[#This Row],[age]]&gt;=35,"35 - 40")</f>
        <v>31+</v>
      </c>
      <c r="D27" t="s">
        <v>1</v>
      </c>
      <c r="E27">
        <v>3</v>
      </c>
      <c r="F27">
        <v>4</v>
      </c>
      <c r="G27">
        <v>7</v>
      </c>
      <c r="H27">
        <v>5</v>
      </c>
      <c r="I27">
        <v>1</v>
      </c>
      <c r="J27">
        <v>2</v>
      </c>
      <c r="K27">
        <v>6</v>
      </c>
      <c r="L27" t="s">
        <v>1</v>
      </c>
      <c r="M27" t="s">
        <v>37</v>
      </c>
      <c r="N27" t="s">
        <v>40</v>
      </c>
      <c r="O27" t="s">
        <v>4</v>
      </c>
      <c r="P27" t="s">
        <v>23</v>
      </c>
      <c r="Q27" t="s">
        <v>6</v>
      </c>
      <c r="R27" t="s">
        <v>7</v>
      </c>
      <c r="S27" t="s">
        <v>8</v>
      </c>
      <c r="T27" t="s">
        <v>9</v>
      </c>
      <c r="U27" t="s">
        <v>3</v>
      </c>
      <c r="V27" t="s">
        <v>10</v>
      </c>
      <c r="W27" t="s">
        <v>27</v>
      </c>
      <c r="X27" t="s">
        <v>12</v>
      </c>
      <c r="Y27" t="s">
        <v>21</v>
      </c>
    </row>
    <row r="28" spans="1:25" x14ac:dyDescent="0.25">
      <c r="A28" t="s">
        <v>22</v>
      </c>
      <c r="B28">
        <v>26</v>
      </c>
      <c r="C28" t="str" cm="1">
        <f t="array" ref="C28">_xlfn.IFS(Finance_Data[[#This Row],[age]]&lt;25, "Under 25", Finance_Data[[#This Row],[age]]&lt;=30, "25 - 30",Finance_Data[[#This Row],[age]]&gt;30, "31+",Finance_Data[[#This Row],[age]]&gt;=35,"35 - 40")</f>
        <v>25 - 30</v>
      </c>
      <c r="D28" t="s">
        <v>1</v>
      </c>
      <c r="E28">
        <v>3</v>
      </c>
      <c r="F28">
        <v>4</v>
      </c>
      <c r="G28">
        <v>6</v>
      </c>
      <c r="H28">
        <v>5</v>
      </c>
      <c r="I28">
        <v>1</v>
      </c>
      <c r="J28">
        <v>2</v>
      </c>
      <c r="K28">
        <v>7</v>
      </c>
      <c r="L28" t="s">
        <v>1</v>
      </c>
      <c r="M28" t="s">
        <v>2</v>
      </c>
      <c r="N28" t="s">
        <v>3</v>
      </c>
      <c r="O28" t="s">
        <v>4</v>
      </c>
      <c r="P28" t="s">
        <v>23</v>
      </c>
      <c r="Q28" t="s">
        <v>6</v>
      </c>
      <c r="R28" t="s">
        <v>7</v>
      </c>
      <c r="S28" t="s">
        <v>8</v>
      </c>
      <c r="T28" t="s">
        <v>9</v>
      </c>
      <c r="U28" t="s">
        <v>19</v>
      </c>
      <c r="V28" t="s">
        <v>32</v>
      </c>
      <c r="W28" t="s">
        <v>27</v>
      </c>
      <c r="X28" t="s">
        <v>12</v>
      </c>
      <c r="Y28" t="s">
        <v>21</v>
      </c>
    </row>
    <row r="29" spans="1:25" x14ac:dyDescent="0.25">
      <c r="A29" t="s">
        <v>22</v>
      </c>
      <c r="B29">
        <v>31</v>
      </c>
      <c r="C29" t="str" cm="1">
        <f t="array" ref="C29">_xlfn.IFS(Finance_Data[[#This Row],[age]]&lt;25, "Under 25", Finance_Data[[#This Row],[age]]&lt;=30, "25 - 30",Finance_Data[[#This Row],[age]]&gt;30, "31+",Finance_Data[[#This Row],[age]]&gt;=35,"35 - 40")</f>
        <v>31+</v>
      </c>
      <c r="D29" t="s">
        <v>1</v>
      </c>
      <c r="E29">
        <v>2</v>
      </c>
      <c r="F29">
        <v>3</v>
      </c>
      <c r="G29">
        <v>7</v>
      </c>
      <c r="H29">
        <v>6</v>
      </c>
      <c r="I29">
        <v>4</v>
      </c>
      <c r="J29">
        <v>1</v>
      </c>
      <c r="K29">
        <v>5</v>
      </c>
      <c r="L29" t="s">
        <v>1</v>
      </c>
      <c r="M29" t="s">
        <v>37</v>
      </c>
      <c r="N29" t="s">
        <v>40</v>
      </c>
      <c r="O29" t="s">
        <v>41</v>
      </c>
      <c r="P29" t="s">
        <v>5</v>
      </c>
      <c r="Q29" t="s">
        <v>6</v>
      </c>
      <c r="R29" t="s">
        <v>7</v>
      </c>
      <c r="S29" t="s">
        <v>42</v>
      </c>
      <c r="T29" t="s">
        <v>18</v>
      </c>
      <c r="U29" t="s">
        <v>3</v>
      </c>
      <c r="V29" t="s">
        <v>32</v>
      </c>
      <c r="W29" t="s">
        <v>11</v>
      </c>
      <c r="X29" t="s">
        <v>12</v>
      </c>
      <c r="Y29" t="s">
        <v>28</v>
      </c>
    </row>
    <row r="30" spans="1:25" x14ac:dyDescent="0.25">
      <c r="A30" t="s">
        <v>22</v>
      </c>
      <c r="B30">
        <v>29</v>
      </c>
      <c r="C30" t="str" cm="1">
        <f t="array" ref="C30">_xlfn.IFS(Finance_Data[[#This Row],[age]]&lt;25, "Under 25", Finance_Data[[#This Row],[age]]&lt;=30, "25 - 30",Finance_Data[[#This Row],[age]]&gt;30, "31+",Finance_Data[[#This Row],[age]]&gt;=35,"35 - 40")</f>
        <v>25 - 30</v>
      </c>
      <c r="D30" t="s">
        <v>1</v>
      </c>
      <c r="E30">
        <v>2</v>
      </c>
      <c r="F30">
        <v>3</v>
      </c>
      <c r="G30">
        <v>6</v>
      </c>
      <c r="H30">
        <v>5</v>
      </c>
      <c r="I30">
        <v>1</v>
      </c>
      <c r="J30">
        <v>4</v>
      </c>
      <c r="K30">
        <v>7</v>
      </c>
      <c r="L30" t="s">
        <v>1</v>
      </c>
      <c r="M30" t="s">
        <v>2</v>
      </c>
      <c r="N30" t="s">
        <v>3</v>
      </c>
      <c r="O30" t="s">
        <v>4</v>
      </c>
      <c r="P30" t="s">
        <v>5</v>
      </c>
      <c r="Q30" t="s">
        <v>6</v>
      </c>
      <c r="R30" t="s">
        <v>7</v>
      </c>
      <c r="S30" t="s">
        <v>25</v>
      </c>
      <c r="T30" t="s">
        <v>9</v>
      </c>
      <c r="U30" t="s">
        <v>3</v>
      </c>
      <c r="V30" t="s">
        <v>10</v>
      </c>
      <c r="W30" t="s">
        <v>27</v>
      </c>
      <c r="X30" t="s">
        <v>36</v>
      </c>
      <c r="Y30" t="s">
        <v>28</v>
      </c>
    </row>
    <row r="31" spans="1:25" x14ac:dyDescent="0.25">
      <c r="A31" t="s">
        <v>0</v>
      </c>
      <c r="B31">
        <v>34</v>
      </c>
      <c r="C31" t="str" cm="1">
        <f t="array" ref="C31">_xlfn.IFS(Finance_Data[[#This Row],[age]]&lt;25, "Under 25", Finance_Data[[#This Row],[age]]&lt;=30, "25 - 30",Finance_Data[[#This Row],[age]]&gt;30, "31+",Finance_Data[[#This Row],[age]]&gt;=35,"35 - 40")</f>
        <v>31+</v>
      </c>
      <c r="D31" t="s">
        <v>1</v>
      </c>
      <c r="E31">
        <v>5</v>
      </c>
      <c r="F31">
        <v>4</v>
      </c>
      <c r="G31">
        <v>3</v>
      </c>
      <c r="H31">
        <v>2</v>
      </c>
      <c r="I31">
        <v>7</v>
      </c>
      <c r="J31">
        <v>1</v>
      </c>
      <c r="K31">
        <v>6</v>
      </c>
      <c r="L31" t="s">
        <v>1</v>
      </c>
      <c r="M31" t="s">
        <v>2</v>
      </c>
      <c r="N31" t="s">
        <v>29</v>
      </c>
      <c r="O31" t="s">
        <v>2</v>
      </c>
      <c r="P31" t="s">
        <v>23</v>
      </c>
      <c r="Q31" t="s">
        <v>6</v>
      </c>
      <c r="R31" t="s">
        <v>31</v>
      </c>
      <c r="S31" t="s">
        <v>8</v>
      </c>
      <c r="T31" t="s">
        <v>9</v>
      </c>
      <c r="U31" t="s">
        <v>3</v>
      </c>
      <c r="V31" t="s">
        <v>26</v>
      </c>
      <c r="W31" t="s">
        <v>11</v>
      </c>
      <c r="X31" t="s">
        <v>12</v>
      </c>
      <c r="Y31" t="s">
        <v>13</v>
      </c>
    </row>
    <row r="32" spans="1:25" x14ac:dyDescent="0.25">
      <c r="A32" t="s">
        <v>22</v>
      </c>
      <c r="B32">
        <v>27</v>
      </c>
      <c r="C32" t="str" cm="1">
        <f t="array" ref="C32">_xlfn.IFS(Finance_Data[[#This Row],[age]]&lt;25, "Under 25", Finance_Data[[#This Row],[age]]&lt;=30, "25 - 30",Finance_Data[[#This Row],[age]]&gt;30, "31+",Finance_Data[[#This Row],[age]]&gt;=35,"35 - 40")</f>
        <v>25 - 30</v>
      </c>
      <c r="D32" t="s">
        <v>1</v>
      </c>
      <c r="E32">
        <v>4</v>
      </c>
      <c r="F32">
        <v>5</v>
      </c>
      <c r="G32">
        <v>1</v>
      </c>
      <c r="H32">
        <v>2</v>
      </c>
      <c r="I32">
        <v>7</v>
      </c>
      <c r="J32">
        <v>3</v>
      </c>
      <c r="K32">
        <v>6</v>
      </c>
      <c r="L32" t="s">
        <v>35</v>
      </c>
      <c r="M32" t="s">
        <v>2</v>
      </c>
      <c r="N32" t="s">
        <v>40</v>
      </c>
      <c r="O32" t="s">
        <v>4</v>
      </c>
      <c r="P32" t="s">
        <v>5</v>
      </c>
      <c r="Q32" t="s">
        <v>6</v>
      </c>
      <c r="R32" t="s">
        <v>31</v>
      </c>
      <c r="S32" t="s">
        <v>8</v>
      </c>
      <c r="T32" t="s">
        <v>43</v>
      </c>
      <c r="U32" t="s">
        <v>3</v>
      </c>
      <c r="V32" t="s">
        <v>26</v>
      </c>
      <c r="W32" t="s">
        <v>11</v>
      </c>
      <c r="X32" t="s">
        <v>12</v>
      </c>
      <c r="Y32" t="s">
        <v>28</v>
      </c>
    </row>
    <row r="33" spans="1:25" x14ac:dyDescent="0.25">
      <c r="A33" t="s">
        <v>0</v>
      </c>
      <c r="B33">
        <v>31</v>
      </c>
      <c r="C33" t="str" cm="1">
        <f t="array" ref="C33">_xlfn.IFS(Finance_Data[[#This Row],[age]]&lt;25, "Under 25", Finance_Data[[#This Row],[age]]&lt;=30, "25 - 30",Finance_Data[[#This Row],[age]]&gt;30, "31+",Finance_Data[[#This Row],[age]]&gt;=35,"35 - 40")</f>
        <v>31+</v>
      </c>
      <c r="D33" t="s">
        <v>1</v>
      </c>
      <c r="E33">
        <v>2</v>
      </c>
      <c r="F33">
        <v>4</v>
      </c>
      <c r="G33">
        <v>7</v>
      </c>
      <c r="H33">
        <v>6</v>
      </c>
      <c r="I33">
        <v>3</v>
      </c>
      <c r="J33">
        <v>1</v>
      </c>
      <c r="K33">
        <v>5</v>
      </c>
      <c r="L33" t="s">
        <v>1</v>
      </c>
      <c r="M33" t="s">
        <v>2</v>
      </c>
      <c r="N33" t="s">
        <v>3</v>
      </c>
      <c r="O33" t="s">
        <v>4</v>
      </c>
      <c r="P33" t="s">
        <v>23</v>
      </c>
      <c r="Q33" t="s">
        <v>6</v>
      </c>
      <c r="R33" t="s">
        <v>7</v>
      </c>
      <c r="S33" t="s">
        <v>42</v>
      </c>
      <c r="T33" t="s">
        <v>9</v>
      </c>
      <c r="U33" t="s">
        <v>3</v>
      </c>
      <c r="V33" t="s">
        <v>10</v>
      </c>
      <c r="W33" t="s">
        <v>27</v>
      </c>
      <c r="X33" t="s">
        <v>12</v>
      </c>
      <c r="Y33" t="s">
        <v>21</v>
      </c>
    </row>
    <row r="34" spans="1:25" x14ac:dyDescent="0.25">
      <c r="A34" t="s">
        <v>22</v>
      </c>
      <c r="B34">
        <v>27</v>
      </c>
      <c r="C34" t="str" cm="1">
        <f t="array" ref="C34">_xlfn.IFS(Finance_Data[[#This Row],[age]]&lt;25, "Under 25", Finance_Data[[#This Row],[age]]&lt;=30, "25 - 30",Finance_Data[[#This Row],[age]]&gt;30, "31+",Finance_Data[[#This Row],[age]]&gt;=35,"35 - 40")</f>
        <v>25 - 30</v>
      </c>
      <c r="D34" t="s">
        <v>1</v>
      </c>
      <c r="E34">
        <v>2</v>
      </c>
      <c r="F34">
        <v>4</v>
      </c>
      <c r="G34">
        <v>7</v>
      </c>
      <c r="H34">
        <v>5</v>
      </c>
      <c r="I34">
        <v>1</v>
      </c>
      <c r="J34">
        <v>3</v>
      </c>
      <c r="K34">
        <v>6</v>
      </c>
      <c r="L34" t="s">
        <v>1</v>
      </c>
      <c r="M34" t="s">
        <v>2</v>
      </c>
      <c r="N34" t="s">
        <v>3</v>
      </c>
      <c r="O34" t="s">
        <v>4</v>
      </c>
      <c r="P34" t="s">
        <v>23</v>
      </c>
      <c r="Q34" t="s">
        <v>6</v>
      </c>
      <c r="R34" t="s">
        <v>38</v>
      </c>
      <c r="S34" t="s">
        <v>25</v>
      </c>
      <c r="T34" t="s">
        <v>18</v>
      </c>
      <c r="U34" t="s">
        <v>3</v>
      </c>
      <c r="V34" t="s">
        <v>32</v>
      </c>
      <c r="W34" t="s">
        <v>27</v>
      </c>
      <c r="X34" t="s">
        <v>12</v>
      </c>
      <c r="Y34" t="s">
        <v>13</v>
      </c>
    </row>
    <row r="35" spans="1:25" x14ac:dyDescent="0.25">
      <c r="A35" t="s">
        <v>22</v>
      </c>
      <c r="B35">
        <v>26</v>
      </c>
      <c r="C35" t="str" cm="1">
        <f t="array" ref="C35">_xlfn.IFS(Finance_Data[[#This Row],[age]]&lt;25, "Under 25", Finance_Data[[#This Row],[age]]&lt;=30, "25 - 30",Finance_Data[[#This Row],[age]]&gt;30, "31+",Finance_Data[[#This Row],[age]]&gt;=35,"35 - 40")</f>
        <v>25 - 30</v>
      </c>
      <c r="D35" t="s">
        <v>1</v>
      </c>
      <c r="E35">
        <v>2</v>
      </c>
      <c r="F35">
        <v>3</v>
      </c>
      <c r="G35">
        <v>6</v>
      </c>
      <c r="H35">
        <v>4</v>
      </c>
      <c r="I35">
        <v>1</v>
      </c>
      <c r="J35">
        <v>5</v>
      </c>
      <c r="K35">
        <v>7</v>
      </c>
      <c r="L35" t="s">
        <v>1</v>
      </c>
      <c r="M35" t="s">
        <v>2</v>
      </c>
      <c r="N35" t="s">
        <v>3</v>
      </c>
      <c r="O35" t="s">
        <v>2</v>
      </c>
      <c r="P35" t="s">
        <v>5</v>
      </c>
      <c r="Q35" t="s">
        <v>6</v>
      </c>
      <c r="R35" t="s">
        <v>7</v>
      </c>
      <c r="S35" t="s">
        <v>42</v>
      </c>
      <c r="T35" t="s">
        <v>43</v>
      </c>
      <c r="U35" t="s">
        <v>19</v>
      </c>
      <c r="V35" t="s">
        <v>10</v>
      </c>
      <c r="W35" t="s">
        <v>11</v>
      </c>
      <c r="X35" t="s">
        <v>36</v>
      </c>
      <c r="Y35" t="s">
        <v>13</v>
      </c>
    </row>
    <row r="36" spans="1:25" x14ac:dyDescent="0.25">
      <c r="A36" t="s">
        <v>22</v>
      </c>
      <c r="B36">
        <v>27</v>
      </c>
      <c r="C36" t="str" cm="1">
        <f t="array" ref="C36">_xlfn.IFS(Finance_Data[[#This Row],[age]]&lt;25, "Under 25", Finance_Data[[#This Row],[age]]&lt;=30, "25 - 30",Finance_Data[[#This Row],[age]]&gt;30, "31+",Finance_Data[[#This Row],[age]]&gt;=35,"35 - 40")</f>
        <v>25 - 30</v>
      </c>
      <c r="D36" t="s">
        <v>1</v>
      </c>
      <c r="E36">
        <v>2</v>
      </c>
      <c r="F36">
        <v>3</v>
      </c>
      <c r="G36">
        <v>6</v>
      </c>
      <c r="H36">
        <v>5</v>
      </c>
      <c r="I36">
        <v>4</v>
      </c>
      <c r="J36">
        <v>1</v>
      </c>
      <c r="K36">
        <v>7</v>
      </c>
      <c r="L36" t="s">
        <v>1</v>
      </c>
      <c r="M36" t="s">
        <v>2</v>
      </c>
      <c r="N36" t="s">
        <v>3</v>
      </c>
      <c r="O36" t="s">
        <v>4</v>
      </c>
      <c r="P36" t="s">
        <v>5</v>
      </c>
      <c r="Q36" t="s">
        <v>17</v>
      </c>
      <c r="R36" t="s">
        <v>7</v>
      </c>
      <c r="S36" t="s">
        <v>8</v>
      </c>
      <c r="T36" t="s">
        <v>18</v>
      </c>
      <c r="U36" t="s">
        <v>3</v>
      </c>
      <c r="V36" t="s">
        <v>10</v>
      </c>
      <c r="W36" t="s">
        <v>11</v>
      </c>
      <c r="X36" t="s">
        <v>12</v>
      </c>
      <c r="Y36" t="s">
        <v>21</v>
      </c>
    </row>
    <row r="37" spans="1:25" x14ac:dyDescent="0.25">
      <c r="A37" t="s">
        <v>22</v>
      </c>
      <c r="B37">
        <v>30</v>
      </c>
      <c r="C37" t="str" cm="1">
        <f t="array" ref="C37">_xlfn.IFS(Finance_Data[[#This Row],[age]]&lt;25, "Under 25", Finance_Data[[#This Row],[age]]&lt;=30, "25 - 30",Finance_Data[[#This Row],[age]]&gt;30, "31+",Finance_Data[[#This Row],[age]]&gt;=35,"35 - 40")</f>
        <v>25 - 30</v>
      </c>
      <c r="D37" t="s">
        <v>1</v>
      </c>
      <c r="E37">
        <v>1</v>
      </c>
      <c r="F37">
        <v>4</v>
      </c>
      <c r="G37">
        <v>6</v>
      </c>
      <c r="H37">
        <v>5</v>
      </c>
      <c r="I37">
        <v>3</v>
      </c>
      <c r="J37">
        <v>2</v>
      </c>
      <c r="K37">
        <v>7</v>
      </c>
      <c r="L37" t="s">
        <v>1</v>
      </c>
      <c r="M37" t="s">
        <v>37</v>
      </c>
      <c r="N37" t="s">
        <v>40</v>
      </c>
      <c r="O37" t="s">
        <v>4</v>
      </c>
      <c r="P37" t="s">
        <v>23</v>
      </c>
      <c r="Q37" t="s">
        <v>6</v>
      </c>
      <c r="R37" t="s">
        <v>7</v>
      </c>
      <c r="S37" t="s">
        <v>42</v>
      </c>
      <c r="T37" t="s">
        <v>18</v>
      </c>
      <c r="U37" t="s">
        <v>3</v>
      </c>
      <c r="V37" t="s">
        <v>10</v>
      </c>
      <c r="W37" t="s">
        <v>27</v>
      </c>
      <c r="X37" t="s">
        <v>12</v>
      </c>
      <c r="Y37" t="s">
        <v>21</v>
      </c>
    </row>
    <row r="38" spans="1:25" x14ac:dyDescent="0.25">
      <c r="A38" t="s">
        <v>22</v>
      </c>
      <c r="B38">
        <v>30</v>
      </c>
      <c r="C38" t="str" cm="1">
        <f t="array" ref="C38">_xlfn.IFS(Finance_Data[[#This Row],[age]]&lt;25, "Under 25", Finance_Data[[#This Row],[age]]&lt;=30, "25 - 30",Finance_Data[[#This Row],[age]]&gt;30, "31+",Finance_Data[[#This Row],[age]]&gt;=35,"35 - 40")</f>
        <v>25 - 30</v>
      </c>
      <c r="D38" t="s">
        <v>1</v>
      </c>
      <c r="E38">
        <v>2</v>
      </c>
      <c r="F38">
        <v>4</v>
      </c>
      <c r="G38">
        <v>7</v>
      </c>
      <c r="H38">
        <v>5</v>
      </c>
      <c r="I38">
        <v>1</v>
      </c>
      <c r="J38">
        <v>3</v>
      </c>
      <c r="K38">
        <v>6</v>
      </c>
      <c r="L38" t="s">
        <v>1</v>
      </c>
      <c r="M38" t="s">
        <v>2</v>
      </c>
      <c r="N38" t="s">
        <v>3</v>
      </c>
      <c r="O38" t="s">
        <v>4</v>
      </c>
      <c r="P38" t="s">
        <v>5</v>
      </c>
      <c r="Q38" t="s">
        <v>6</v>
      </c>
      <c r="R38" t="s">
        <v>7</v>
      </c>
      <c r="S38" t="s">
        <v>25</v>
      </c>
      <c r="T38" t="s">
        <v>9</v>
      </c>
      <c r="U38" t="s">
        <v>3</v>
      </c>
      <c r="V38" t="s">
        <v>10</v>
      </c>
      <c r="W38" t="s">
        <v>27</v>
      </c>
      <c r="X38" t="s">
        <v>36</v>
      </c>
      <c r="Y38" t="s">
        <v>13</v>
      </c>
    </row>
    <row r="39" spans="1:25" x14ac:dyDescent="0.25">
      <c r="A39" t="s">
        <v>22</v>
      </c>
      <c r="B39">
        <v>25</v>
      </c>
      <c r="C39" t="str" cm="1">
        <f t="array" ref="C39">_xlfn.IFS(Finance_Data[[#This Row],[age]]&lt;25, "Under 25", Finance_Data[[#This Row],[age]]&lt;=30, "25 - 30",Finance_Data[[#This Row],[age]]&gt;30, "31+",Finance_Data[[#This Row],[age]]&gt;=35,"35 - 40")</f>
        <v>25 - 30</v>
      </c>
      <c r="D39" t="s">
        <v>1</v>
      </c>
      <c r="E39">
        <v>5</v>
      </c>
      <c r="F39">
        <v>4</v>
      </c>
      <c r="G39">
        <v>7</v>
      </c>
      <c r="H39">
        <v>6</v>
      </c>
      <c r="I39">
        <v>1</v>
      </c>
      <c r="J39">
        <v>2</v>
      </c>
      <c r="K39">
        <v>3</v>
      </c>
      <c r="L39" t="s">
        <v>1</v>
      </c>
      <c r="M39" t="s">
        <v>37</v>
      </c>
      <c r="N39" t="s">
        <v>40</v>
      </c>
      <c r="O39" t="s">
        <v>41</v>
      </c>
      <c r="P39" t="s">
        <v>23</v>
      </c>
      <c r="Q39" t="s">
        <v>6</v>
      </c>
      <c r="R39" t="s">
        <v>38</v>
      </c>
      <c r="S39" t="s">
        <v>44</v>
      </c>
      <c r="T39" t="s">
        <v>18</v>
      </c>
      <c r="U39" t="s">
        <v>3</v>
      </c>
      <c r="V39" t="s">
        <v>10</v>
      </c>
      <c r="W39" t="s">
        <v>11</v>
      </c>
      <c r="X39" t="s">
        <v>12</v>
      </c>
      <c r="Y39" t="s">
        <v>21</v>
      </c>
    </row>
    <row r="40" spans="1:25" x14ac:dyDescent="0.25">
      <c r="A40" t="s">
        <v>22</v>
      </c>
      <c r="B40">
        <v>31</v>
      </c>
      <c r="C40" t="str" cm="1">
        <f t="array" ref="C40">_xlfn.IFS(Finance_Data[[#This Row],[age]]&lt;25, "Under 25", Finance_Data[[#This Row],[age]]&lt;=30, "25 - 30",Finance_Data[[#This Row],[age]]&gt;30, "31+",Finance_Data[[#This Row],[age]]&gt;=35,"35 - 40")</f>
        <v>31+</v>
      </c>
      <c r="D40" t="s">
        <v>1</v>
      </c>
      <c r="E40">
        <v>2</v>
      </c>
      <c r="F40">
        <v>4</v>
      </c>
      <c r="G40">
        <v>7</v>
      </c>
      <c r="H40">
        <v>5</v>
      </c>
      <c r="I40">
        <v>3</v>
      </c>
      <c r="J40">
        <v>1</v>
      </c>
      <c r="K40">
        <v>6</v>
      </c>
      <c r="L40" t="s">
        <v>1</v>
      </c>
      <c r="M40" t="s">
        <v>37</v>
      </c>
      <c r="N40" t="s">
        <v>40</v>
      </c>
      <c r="O40" t="s">
        <v>4</v>
      </c>
      <c r="P40" t="s">
        <v>5</v>
      </c>
      <c r="Q40" t="s">
        <v>17</v>
      </c>
      <c r="R40" t="s">
        <v>7</v>
      </c>
      <c r="S40" t="s">
        <v>25</v>
      </c>
      <c r="T40" t="s">
        <v>18</v>
      </c>
      <c r="U40" t="s">
        <v>19</v>
      </c>
      <c r="V40" t="s">
        <v>32</v>
      </c>
      <c r="W40" t="s">
        <v>27</v>
      </c>
      <c r="X40" t="s">
        <v>12</v>
      </c>
      <c r="Y40" t="s">
        <v>13</v>
      </c>
    </row>
    <row r="41" spans="1:25" x14ac:dyDescent="0.25">
      <c r="A41" t="s">
        <v>22</v>
      </c>
      <c r="B41">
        <v>29</v>
      </c>
      <c r="C41" t="str" cm="1">
        <f t="array" ref="C41">_xlfn.IFS(Finance_Data[[#This Row],[age]]&lt;25, "Under 25", Finance_Data[[#This Row],[age]]&lt;=30, "25 - 30",Finance_Data[[#This Row],[age]]&gt;30, "31+",Finance_Data[[#This Row],[age]]&gt;=35,"35 - 40")</f>
        <v>25 - 30</v>
      </c>
      <c r="D41" t="s">
        <v>1</v>
      </c>
      <c r="E41">
        <v>4</v>
      </c>
      <c r="F41">
        <v>3</v>
      </c>
      <c r="G41">
        <v>5</v>
      </c>
      <c r="H41">
        <v>7</v>
      </c>
      <c r="I41">
        <v>2</v>
      </c>
      <c r="J41">
        <v>1</v>
      </c>
      <c r="K41">
        <v>6</v>
      </c>
      <c r="L41" t="s">
        <v>1</v>
      </c>
      <c r="M41" t="s">
        <v>2</v>
      </c>
      <c r="N41" t="s">
        <v>3</v>
      </c>
      <c r="O41" t="s">
        <v>4</v>
      </c>
      <c r="P41" t="s">
        <v>23</v>
      </c>
      <c r="Q41" t="s">
        <v>6</v>
      </c>
      <c r="R41" t="s">
        <v>7</v>
      </c>
      <c r="S41" t="s">
        <v>42</v>
      </c>
      <c r="T41" t="s">
        <v>9</v>
      </c>
      <c r="U41" t="s">
        <v>19</v>
      </c>
      <c r="V41" t="s">
        <v>10</v>
      </c>
      <c r="W41" t="s">
        <v>11</v>
      </c>
      <c r="X41" t="s">
        <v>12</v>
      </c>
      <c r="Y41" t="s">
        <v>21</v>
      </c>
    </row>
  </sheetData>
  <dataValidations count="1">
    <dataValidation type="whole" allowBlank="1" showInputMessage="1" showErrorMessage="1" sqref="B2:B41" xr:uid="{997E48F0-1764-4B91-B7F1-8954F267644B}">
      <formula1>20</formula1>
      <formula2>55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Besong</dc:creator>
  <cp:lastModifiedBy>Benard Besong</cp:lastModifiedBy>
  <dcterms:created xsi:type="dcterms:W3CDTF">2026-10-29T16:57:06Z</dcterms:created>
  <dcterms:modified xsi:type="dcterms:W3CDTF">2026-10-29T16:58:55Z</dcterms:modified>
</cp:coreProperties>
</file>