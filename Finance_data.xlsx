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HP\Documents\Internship\"/>
    </mc:Choice>
  </mc:AlternateContent>
  <xr:revisionPtr revIDLastSave="0" documentId="8_{66A14708-87AE-431C-8C7C-9CD56A120659}" xr6:coauthVersionLast="47" xr6:coauthVersionMax="47" xr10:uidLastSave="{00000000-0000-0000-0000-000000000000}"/>
  <bookViews>
    <workbookView xWindow="-120" yWindow="-120" windowWidth="20730" windowHeight="11040" tabRatio="637" firstSheet="1" activeTab="1" xr2:uid="{AF732C39-C786-401A-A8BB-F2F6B1AD9E27}"/>
  </bookViews>
  <sheets>
    <sheet name="Admin Configuration" sheetId="11" state="veryHidden" r:id="rId1"/>
    <sheet name="Dashboard" sheetId="12" r:id="rId2"/>
    <sheet name="Finance_data" sheetId="1" r:id="rId3"/>
    <sheet name="Demographics Avenues" sheetId="2" r:id="rId4"/>
    <sheet name="Behaviour Motivation" sheetId="3" r:id="rId5"/>
    <sheet name="Avenue Reasons" sheetId="4" r:id="rId6"/>
  </sheets>
  <definedNames>
    <definedName name="_xlcn.WorksheetConnection_Finance_data.csv.xlsxFinance_Data1" hidden="1">Finance_Data[]</definedName>
    <definedName name="_xlcn.WorksheetConnection_Finance_data.csv.xlsxRanking_By_Respondents1" hidden="1">Ranking_By_Respondents</definedName>
    <definedName name="AvenueList">Avenue_Average_Ranks[Avenue]</definedName>
    <definedName name="Slicer_Age_Category">#N/A</definedName>
    <definedName name="Slicer_Avenue1">#N/A</definedName>
    <definedName name="Slicer_gender">#N/A</definedName>
    <definedName name="Slicer_Investment_Avenues">#N/A</definedName>
    <definedName name="Slicer_Stock_Market">#N/A</definedName>
  </definedNames>
  <calcPr calcId="191029"/>
  <pivotCaches>
    <pivotCache cacheId="4"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king_By_Respondents" name="Ranking_By_Respondents" connection="WorksheetConnection_Finance_data.csv.xlsx!Ranking_By_Respondents"/>
          <x15:modelTable id="Finance_Data" name="Finance_Data" connection="WorksheetConnection_Finance_data.csv.xlsx!Financ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2" l="1"/>
  <c r="E3" i="2"/>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G3" i="2"/>
  <c r="C3" i="2"/>
  <c r="C10" i="11"/>
  <c r="C11" i="11"/>
  <c r="A3" i="2"/>
  <c r="C9" i="11"/>
  <c r="C14" i="11"/>
  <c r="C8" i="11"/>
  <c r="C12" i="11"/>
  <c r="C13" i="11"/>
  <c r="F8" i="11" l="1" a="1"/>
  <c r="F8"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DE6EA6-8ACC-4712-BFAA-D243CED091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C7ADC8-C0D3-4B89-840B-91E37C8567A7}" name="WorksheetConnection_Finance_data.csv.xlsx!Finance_Data" type="102" refreshedVersion="8" minRefreshableVersion="5">
    <extLst>
      <ext xmlns:x15="http://schemas.microsoft.com/office/spreadsheetml/2010/11/main" uri="{DE250136-89BD-433C-8126-D09CA5730AF9}">
        <x15:connection id="Finance_Data" autoDelete="1">
          <x15:rangePr sourceName="_xlcn.WorksheetConnection_Finance_data.csv.xlsxFinance_Data1"/>
        </x15:connection>
      </ext>
    </extLst>
  </connection>
  <connection id="3" xr16:uid="{FF272B98-07DB-4AE2-B43E-EC83272A6BB8}" name="WorksheetConnection_Finance_data.csv.xlsx!Ranking_By_Respondents" type="102" refreshedVersion="8" minRefreshableVersion="5">
    <extLst>
      <ext xmlns:x15="http://schemas.microsoft.com/office/spreadsheetml/2010/11/main" uri="{DE250136-89BD-433C-8126-D09CA5730AF9}">
        <x15:connection id="Ranking_By_Respondents">
          <x15:rangePr sourceName="_xlcn.WorksheetConnection_Finance_data.csv.xlsxRanking_By_Respondent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<sst xmlns="http://schemas.openxmlformats.org/spreadsheetml/2006/main" count="829" uniqueCount="128">
  <si>
    <t>gender</t>
  </si>
  <si>
    <t>age</t>
  </si>
  <si>
    <t>Investment_Avenues</t>
  </si>
  <si>
    <t>Mutual_Funds</t>
  </si>
  <si>
    <t>Equity_Market</t>
  </si>
  <si>
    <t>Debentures</t>
  </si>
  <si>
    <t>Government_Bonds</t>
  </si>
  <si>
    <t>Fixed_Deposits</t>
  </si>
  <si>
    <t>PPF</t>
  </si>
  <si>
    <t>Gold</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</si>
  <si>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</si>
  <si>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</si>
  <si>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</si>
  <si>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</si>
  <si>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</si>
  <si>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</si>
  <si>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</si>
  <si>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</si>
  <si>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</si>
  <si>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</si>
  <si>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</si>
  <si>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</si>
  <si>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</si>
  <si>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</si>
  <si>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</si>
  <si>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</si>
  <si>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</si>
  <si>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</si>
  <si>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</si>
  <si>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</si>
  <si>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</si>
  <si>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</si>
  <si>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</si>
  <si>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</si>
  <si>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</si>
  <si>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</si>
  <si>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</si>
  <si>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</si>
  <si>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</si>
  <si>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</si>
  <si>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</si>
  <si>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</si>
  <si>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</si>
  <si>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</si>
  <si>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</si>
  <si>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</si>
  <si>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</si>
  <si>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</si>
  <si>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</si>
  <si>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</si>
  <si>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</si>
  <si>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</si>
  <si>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</si>
  <si>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</si>
  <si>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</si>
  <si>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</si>
  <si>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</si>
  <si>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</si>
  <si>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</si>
  <si>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</si>
  <si>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</si>
  <si>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</si>
  <si>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</si>
  <si>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</si>
  <si>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</si>
  <si>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</si>
  <si>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</si>
  <si>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</si>
  <si>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</si>
  <si>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Average of Mutual_Funds</t>
  </si>
  <si>
    <t>Average of Equity_Market</t>
  </si>
  <si>
    <t>Average of Debentures</t>
  </si>
  <si>
    <t>Average of Fixed_Deposits</t>
  </si>
  <si>
    <t>Average of PPF</t>
  </si>
  <si>
    <t>Average of Gold</t>
  </si>
  <si>
    <t>Column Labels</t>
  </si>
  <si>
    <t>Average of Govt_Bonds</t>
  </si>
  <si>
    <t>Count of Avenue2</t>
  </si>
  <si>
    <t>Respondents by Investment Factor</t>
  </si>
  <si>
    <t>Age Category</t>
  </si>
  <si>
    <t>25 - 30</t>
  </si>
  <si>
    <t>31+</t>
  </si>
  <si>
    <t>Under 25</t>
  </si>
  <si>
    <t>Count of Source</t>
  </si>
  <si>
    <t xml:space="preserve">Respondents By Attraction Source </t>
  </si>
  <si>
    <t>Count of Expect</t>
  </si>
  <si>
    <t xml:space="preserve">Investment Duration By Expect Rate </t>
  </si>
  <si>
    <t>Total Respondents</t>
  </si>
  <si>
    <t>% of Respondents</t>
  </si>
  <si>
    <t>Gender By Investment Ratings</t>
  </si>
  <si>
    <t>% Of Respondents</t>
  </si>
  <si>
    <t>Respondent By Reason  for Fixed Deposits</t>
  </si>
  <si>
    <t>Respondent By Reason  for  Bonds</t>
  </si>
  <si>
    <t>Respondent By Reason  for Mutual</t>
  </si>
  <si>
    <t>Respondent By Reason for Equity</t>
  </si>
  <si>
    <t>Total Survey</t>
  </si>
  <si>
    <t>Average Age</t>
  </si>
  <si>
    <t>Count of Avenue</t>
  </si>
  <si>
    <t xml:space="preserve"> Avenue Selection By Age Group</t>
  </si>
  <si>
    <t>Respondents by  Avenue</t>
  </si>
  <si>
    <t>Stock_Market</t>
  </si>
  <si>
    <t>Average Rank</t>
  </si>
  <si>
    <t>Avenues Validation</t>
  </si>
  <si>
    <t>Count of Purpose</t>
  </si>
  <si>
    <t>Investment_Avenues %</t>
  </si>
  <si>
    <t>Stock_Market %</t>
  </si>
  <si>
    <t>Investment Objective By Purpose</t>
  </si>
  <si>
    <t>Average Mutual_Funds</t>
  </si>
  <si>
    <t>Average Equity_Market</t>
  </si>
  <si>
    <t>Average Debentures</t>
  </si>
  <si>
    <t>Average Govt_Bonds</t>
  </si>
  <si>
    <t>Average Fixed_Deposits</t>
  </si>
  <si>
    <t>Average PPF</t>
  </si>
  <si>
    <t>Average Gold</t>
  </si>
  <si>
    <t>Gender By Average Investment Ranks</t>
  </si>
  <si>
    <t>Savings Reasoacn By Respondent</t>
  </si>
  <si>
    <t>Rank 1</t>
  </si>
  <si>
    <t>Rank 2</t>
  </si>
  <si>
    <t>Rank 3</t>
  </si>
  <si>
    <t>Rank 4</t>
  </si>
  <si>
    <t>Rank 5</t>
  </si>
  <si>
    <t>Rank 6</t>
  </si>
  <si>
    <t>Rank 7</t>
  </si>
  <si>
    <t>Respondents By Investment Ranks</t>
  </si>
  <si>
    <t>Respondent By Avenue</t>
  </si>
  <si>
    <t>Gender Validation</t>
  </si>
  <si>
    <t>NO</t>
  </si>
  <si>
    <t>Invesment Avenue / Stock_market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</si>
</sst>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0" borderId="0" xfId="0" applyAlignment="1">
      <alignment vertical="center"/>
    </xf>
    <xf numFmtId="0" fontId="13" fillId="33" borderId="10" xfId="0" applyFont="1" applyFill="1" applyBorder="1"/>
    <xf numFmtId="2" fontId="0" fillId="0" borderId="0" xfId="0" applyNumberFormat="1"/>
    <xf numFmtId="9" fontId="0" fillId="0" borderId="0" xfId="42" applyFont="1"/>
    <xf numFmtId="0" fontId="18" fillId="33" borderId="10" xfId="0" applyFont="1" applyFill="1" applyBorder="1"/>
    <xf numFmtId="0" fontId="18" fillId="33" borderId="11" xfId="0" applyFont="1" applyFill="1" applyBorder="1"/>
    <xf numFmtId="0" fontId="18" fillId="9" borderId="0" xfId="18" applyFont="1" applyAlignment="1">
      <alignment horizontal="center"/>
    </xf>
    <xf numFmtId="0" fontId="18" fillId="9" borderId="9" xfId="18" applyFont="1" applyBorder="1" applyAlignment="1">
      <alignment horizontal="center"/>
    </xf>
    <xf numFmtId="0" fontId="17" fillId="9" borderId="0" xfId="18" applyAlignment="1">
      <alignment horizontal="center"/>
    </xf>
    <xf numFmtId="0" fontId="13" fillId="9" borderId="0" xfId="18" applyFont="1" applyAlignment="1">
      <alignment horizontal="center"/>
    </xf>
    <xf numFmtId="0" fontId="18" fillId="9" borderId="0" xfId="18" applyFont="1" applyBorder="1" applyAlignment="1">
      <alignment horizontal="center" vertical="center"/>
    </xf>
    <xf numFmtId="0" fontId="0" fillId="0" borderId="0" xfId="0" applyNumberFormat="1"/>
    <xf numFmtId="0" fontId="0" fillId="0" borderId="0" xfId="0" applyBorder="1" applyAlignment="1">
      <alignment horizontal="left"/>
    </xf>
    <xf numFmtId="1" fontId="0" fillId="0" borderId="0" xfId="0" applyNumberFormat="1" applyBorder="1"/>
    <xf numFmtId="0" fontId="0" fillId="0" borderId="0" xfId="0" applyAlignment="1"/>
    <xf numFmtId="0" fontId="0" fillId="0" borderId="0" xfId="0" applyBorder="1" applyAlignment="1"/>
    <xf numFmtId="0" fontId="0" fillId="0" borderId="13" xfId="0" applyBorder="1" applyAlignment="1">
      <alignment horizontal="center"/>
    </xf>
    <xf numFmtId="0" fontId="0" fillId="0" borderId="14" xfId="0" applyBorder="1" applyAlignment="1">
      <alignment horizontal="center"/>
    </xf>
    <xf numFmtId="1" fontId="0" fillId="0" borderId="0" xfId="0" applyNumberFormat="1" applyBorder="1" applyAlignment="1">
      <alignment horizontal="center"/>
    </xf>
    <xf numFmtId="1" fontId="13" fillId="33" borderId="12" xfId="0" applyNumberFormat="1"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4">
    <dxf>
      <numFmt numFmtId="13" formatCode="0%"/>
    </dxf>
    <dxf>
      <numFmt numFmtId="2" formatCode="0.00"/>
    </dxf>
    <dxf>
      <alignment vertical="center"/>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0" formatCode="General"/>
    </dxf>
    <dxf>
      <numFmt numFmtId="0" formatCode="General"/>
    </dxf>
    <dxf>
      <numFmt numFmtId="13" formatCode="0%"/>
    </dxf>
    <dxf>
      <numFmt numFmtId="1" formatCode="0"/>
    </dxf>
    <dxf>
      <numFmt numFmtId="2" formatCode="0.00"/>
    </dxf>
    <dxf>
      <numFmt numFmtId="1" formatCode="0"/>
    </dxf>
    <dxf>
      <border>
        <bottom/>
      </border>
    </dxf>
    <dxf>
      <numFmt numFmtId="1" formatCode="0"/>
    </dxf>
    <dxf>
      <numFmt numFmtId="0" formatCode="General"/>
    </dxf>
    <dxf>
      <numFmt numFmtId="14" formatCode="0.00%"/>
    </dxf>
    <dxf>
      <numFmt numFmtId="13" formatCode="0%"/>
    </dxf>
    <dxf>
      <numFmt numFmtId="13" formatCode="0%"/>
    </dxf>
    <dxf>
      <numFmt numFmtId="0" formatCode="General"/>
    </dxf>
    <dxf>
      <numFmt numFmtId="0" formatCode="General"/>
    </dxf>
    <dxf>
      <numFmt numFmtId="13" formatCode="0%"/>
    </dxf>
    <dxf>
      <numFmt numFmtId="0" formatCode="General"/>
    </dxf>
    <dxf>
      <numFmt numFmtId="14" formatCode="0.00%"/>
    </dxf>
    <dxf>
      <numFmt numFmtId="13" formatCode="0%"/>
    </dxf>
    <dxf>
      <numFmt numFmtId="0" formatCode="General"/>
    </dxf>
    <dxf>
      <numFmt numFmtId="13" formatCode="0%"/>
    </dxf>
    <dxf>
      <numFmt numFmtId="0" formatCode="General"/>
    </dxf>
    <dxf>
      <numFmt numFmtId="13" formatCode="0%"/>
    </dxf>
    <dxf>
      <numFmt numFmtId="0" formatCode="General"/>
    </dxf>
    <dxf>
      <numFmt numFmtId="13" formatCode="0%"/>
    </dxf>
    <dxf>
      <numFmt numFmtId="14" formatCode="0.00%"/>
    </dxf>
    <dxf>
      <numFmt numFmtId="13" formatCode="0%"/>
    </dxf>
    <dxf>
      <numFmt numFmtId="0" formatCode="General"/>
    </dxf>
    <dxf>
      <numFmt numFmtId="1" formatCode="0"/>
    </dxf>
    <dxf>
      <numFmt numFmtId="13" formatCode="0%"/>
    </dxf>
    <dxf>
      <numFmt numFmtId="0" formatCode="General"/>
    </dxf>
    <dxf>
      <numFmt numFmtId="13" formatCode="0%"/>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 formatCode="0"/>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right/>
        <top style="thin">
          <color theme="4" tint="0.39997558519241921"/>
        </top>
        <bottom style="thin">
          <color theme="4" tint="0.39997558519241921"/>
        </bottom>
        <vertical/>
        <horizontal/>
      </border>
    </dxf>
    <dxf>
      <numFmt numFmtId="0" formatCode="General"/>
    </dxf>
  </dxfs>
  <tableStyles count="0" defaultTableStyle="TableStyleMedium2" defaultPivotStyle="PivotStyleLight16"/>
  <colors>
    <mruColors>
      <color rgb="FFFAA2A2"/>
      <color rgb="FF4E69DA"/>
      <color rgb="FF5F73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[Finance_data.xlsx]Behaviour Motivation!Savings Reason By Respondent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Savings Reason By Respondent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9.031181781888914E-2"/>
          <c:y val="0.16768161503987036"/>
          <c:w val="0.58240719910011252"/>
          <c:h val="0.74597721381681525"/>
        </c:manualLayout>
      </c:layout>
      <c:barChart>
        <c:barDir val="bar"/>
        <c:grouping val="clustered"/>
        <c:varyColors val="0"/>
        <c:ser>
          <c:idx val="0"/>
          <c:order val="0"/>
          <c:tx>
            <c:strRef>
              <c:f>'Behaviour Motivation'!$E$5</c:f>
              <c:strCache>
                <c:ptCount val="1"/>
                <c:pt idx="0">
                  <c:v>Total</c:v>
                </c:pt>
              </c:strCache>
            </c:strRef>
          </c:tx>
          <c:spPr>
            <a:solidFill>
              <a:schemeClr val="accent6">
                <a:lumMod val="75000"/>
              </a:schemeClr>
            </a:solidFill>
            <a:ln w="19050">
              <a:solidFill>
                <a:schemeClr val="lt1"/>
              </a:solidFill>
            </a:ln>
            <a:effectLst/>
          </c:spPr>
          <c:invertIfNegative val="0"/>
          <c:dPt>
            <c:idx val="0"/>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E4C-4A15-8869-07507CA23D1F}"/>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8E4C-4A15-8869-07507CA23D1F}"/>
              </c:ext>
            </c:extLst>
          </c:dPt>
          <c:dPt>
            <c:idx val="2"/>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8E4C-4A15-8869-07507CA23D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'Behaviour Motivation'!$D$6:$D$9</c:f>
              <c:strCache>
                <c:ptCount val="3"/>
                <c:pt idx="0">
                  <c:v>Education</c:v>
                </c:pt>
                <c:pt idx="1">
                  <c:v>Health Care</c:v>
                </c:pt>
                <c:pt idx="2">
                  <c:v>Retirement Plan</c:v>
                </c:pt>
              </c:strCache>
            </c:strRef>
          </c:cat>
          <c:val>
            <c:numRef>
              <c:f>'Behaviour Motivation'!$E$6:$E$9</c:f>
              <c:numCache>
                <c:formatCode>0</c:formatCode>
                <c:ptCount val="3"/>
                <c:pt idx="0">
                  <c:v>3</c:v>
                </c:pt>
                <c:pt idx="1">
                  <c:v>13</c:v>
                </c:pt>
                <c:pt idx="2">
                  <c:v>24</c:v>
                </c:pt>
              </c:numCache>
            </c:numRef>
          </c:val>
          <c:extLst>
            <c:ext xmlns:c16="http://schemas.microsoft.com/office/drawing/2014/chart" uri="{C3380CC4-5D6E-409C-BE32-E72D297353CC}">
              <c16:uniqueId val="{00000006-8E4C-4A15-8869-07507CA23D1F}"/>
            </c:ext>
          </c:extLst>
        </c:ser>
        <c:dLbls>
          <c:showLegendKey val="0"/>
          <c:showVal val="0"/>
          <c:showCatName val="0"/>
          <c:showSerName val="0"/>
          <c:showPercent val="0"/>
          <c:showBubbleSize val="0"/>
        </c:dLbls>
        <c:gapWidth val="100"/>
        <c:axId val="173401615"/>
        <c:axId val="48200015"/>
      </c:barChart>
      <c:valAx>
        <c:axId val="48200015"/>
        <c:scaling>
          <c:orientation val="minMax"/>
          <c:max val="24"/>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01615"/>
        <c:crosses val="autoZero"/>
        <c:crossBetween val="between"/>
        <c:majorUnit val="4"/>
      </c:valAx>
      <c:catAx>
        <c:axId val="173401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200015"/>
        <c:crosses val="autoZero"/>
        <c:auto val="1"/>
        <c:lblAlgn val="ctr"/>
        <c:lblOffset val="100"/>
        <c:noMultiLvlLbl val="0"/>
      </c:catAx>
      <c:spPr>
        <a:noFill/>
        <a:ln>
          <a:noFill/>
        </a:ln>
        <a:effectLst/>
      </c:spPr>
    </c:plotArea>
    <c:legend>
      <c:legendPos val="r"/>
      <c:layout>
        <c:manualLayout>
          <c:xMode val="edge"/>
          <c:yMode val="edge"/>
          <c:x val="0.76273856648665139"/>
          <c:y val="0.34353834833330188"/>
          <c:w val="0.19650581987840302"/>
          <c:h val="0.39961572371021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[Finance_data.xlsx]Behaviour Motivation!Respondents By Attraction Source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Respondents By Attraction Source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manualLayout>
          <c:layoutTarget val="inner"/>
          <c:xMode val="edge"/>
          <c:yMode val="edge"/>
          <c:x val="8.6458961148374966E-2"/>
          <c:y val="0.20721402243718715"/>
          <c:w val="0.5561083568257672"/>
          <c:h val="0.62780153902657088"/>
        </c:manualLayout>
      </c:layout>
      <c:doughnutChart>
        <c:varyColors val="1"/>
        <c:ser>
          <c:idx val="0"/>
          <c:order val="0"/>
          <c:tx>
            <c:strRef>
              <c:f>'Behaviour Motivation'!$H$5</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11B7-47FB-8088-D7B969EEB7CA}"/>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11B7-47FB-8088-D7B969EEB7CA}"/>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11B7-47FB-8088-D7B969EEB7CA}"/>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11B7-47FB-8088-D7B969EEB7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'Behaviour Motivation'!$G$6:$G$10</c:f>
              <c:strCache>
                <c:ptCount val="4"/>
                <c:pt idx="0">
                  <c:v>Financial Consultants</c:v>
                </c:pt>
                <c:pt idx="1">
                  <c:v>Internet</c:v>
                </c:pt>
                <c:pt idx="2">
                  <c:v>Newspapers and Magazines</c:v>
                </c:pt>
                <c:pt idx="3">
                  <c:v>Television</c:v>
                </c:pt>
              </c:strCache>
            </c:strRef>
          </c:cat>
          <c:val>
            <c:numRef>
              <c:f>'Behaviour Motivation'!$H$6:$H$10</c:f>
              <c:numCache>
                <c:formatCode>0%</c:formatCode>
                <c:ptCount val="4"/>
                <c:pt idx="0">
                  <c:v>0.4</c:v>
                </c:pt>
                <c:pt idx="1">
                  <c:v>0.1</c:v>
                </c:pt>
                <c:pt idx="2">
                  <c:v>0.35</c:v>
                </c:pt>
                <c:pt idx="3">
                  <c:v>0.15</c:v>
                </c:pt>
              </c:numCache>
            </c:numRef>
          </c:val>
          <c:extLst>
            <c:ext xmlns:c16="http://schemas.microsoft.com/office/drawing/2014/chart" uri="{C3380CC4-5D6E-409C-BE32-E72D297353CC}">
              <c16:uniqueId val="{00000008-11B7-47FB-8088-D7B969EEB7CA}"/>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5570227407779047"/>
          <c:y val="0.21419863957951391"/>
          <c:w val="0.32502054889569698"/>
          <c:h val="0.603141244385836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[Finance_data.xlsx]Demographics Avenues! Avenue Selection By Age Group</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Avenue Selection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5341650715571"/>
          <c:y val="0.21043971631205674"/>
          <c:w val="0.53954351175749637"/>
          <c:h val="0.65793890657284859"/>
        </c:manualLayout>
      </c:layout>
      <c:barChart>
        <c:barDir val="bar"/>
        <c:grouping val="percentStacked"/>
        <c:varyColors val="0"/>
        <c:ser>
          <c:idx val="0"/>
          <c:order val="0"/>
          <c:tx>
            <c:strRef>
              <c:f>'Demographics Avenues'!$B$8:$B$9</c:f>
              <c:strCache>
                <c:ptCount val="1"/>
                <c:pt idx="0">
                  <c:v>Equity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Avenues'!$A$10:$A$13</c:f>
              <c:strCache>
                <c:ptCount val="3"/>
                <c:pt idx="0">
                  <c:v>25 - 30</c:v>
                </c:pt>
                <c:pt idx="1">
                  <c:v>31+</c:v>
                </c:pt>
                <c:pt idx="2">
                  <c:v>Under 25</c:v>
                </c:pt>
              </c:strCache>
            </c:strRef>
          </c:cat>
          <c:val>
            <c:numRef>
              <c:f>'Demographics Avenues'!$B$10:$B$13</c:f>
              <c:numCache>
                <c:formatCode>General</c:formatCode>
                <c:ptCount val="3"/>
                <c:pt idx="0">
                  <c:v>5</c:v>
                </c:pt>
                <c:pt idx="1">
                  <c:v>2</c:v>
                </c:pt>
                <c:pt idx="2">
                  <c:v>3</c:v>
                </c:pt>
              </c:numCache>
            </c:numRef>
          </c:val>
          <c:extLst>
            <c:ext xmlns:c16="http://schemas.microsoft.com/office/drawing/2014/chart" uri="{C3380CC4-5D6E-409C-BE32-E72D297353CC}">
              <c16:uniqueId val="{00000000-BB29-4E90-98F1-DE2120E7A169}"/>
            </c:ext>
          </c:extLst>
        </c:ser>
        <c:ser>
          <c:idx val="1"/>
          <c:order val="1"/>
          <c:tx>
            <c:strRef>
              <c:f>'Demographics Avenues'!$C$8:$C$9</c:f>
              <c:strCache>
                <c:ptCount val="1"/>
                <c:pt idx="0">
                  <c:v>Fixed Deposits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Avenues'!$A$10:$A$13</c:f>
              <c:strCache>
                <c:ptCount val="3"/>
                <c:pt idx="0">
                  <c:v>25 - 30</c:v>
                </c:pt>
                <c:pt idx="1">
                  <c:v>31+</c:v>
                </c:pt>
                <c:pt idx="2">
                  <c:v>Under 25</c:v>
                </c:pt>
              </c:strCache>
            </c:strRef>
          </c:cat>
          <c:val>
            <c:numRef>
              <c:f>'Demographics Avenues'!$C$10:$C$13</c:f>
              <c:numCache>
                <c:formatCode>General</c:formatCode>
                <c:ptCount val="3"/>
                <c:pt idx="0">
                  <c:v>6</c:v>
                </c:pt>
                <c:pt idx="1">
                  <c:v>3</c:v>
                </c:pt>
              </c:numCache>
            </c:numRef>
          </c:val>
          <c:extLst>
            <c:ext xmlns:c16="http://schemas.microsoft.com/office/drawing/2014/chart" uri="{C3380CC4-5D6E-409C-BE32-E72D297353CC}">
              <c16:uniqueId val="{0000004E-9B4B-432D-B209-F26600F991EC}"/>
            </c:ext>
          </c:extLst>
        </c:ser>
        <c:ser>
          <c:idx val="2"/>
          <c:order val="2"/>
          <c:tx>
            <c:strRef>
              <c:f>'Demographics Avenues'!$D$8:$D$9</c:f>
              <c:strCache>
                <c:ptCount val="1"/>
                <c:pt idx="0">
                  <c:v>Mutual Fund</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Avenues'!$A$10:$A$13</c:f>
              <c:strCache>
                <c:ptCount val="3"/>
                <c:pt idx="0">
                  <c:v>25 - 30</c:v>
                </c:pt>
                <c:pt idx="1">
                  <c:v>31+</c:v>
                </c:pt>
                <c:pt idx="2">
                  <c:v>Under 25</c:v>
                </c:pt>
              </c:strCache>
            </c:strRef>
          </c:cat>
          <c:val>
            <c:numRef>
              <c:f>'Demographics Avenues'!$D$10:$D$13</c:f>
              <c:numCache>
                <c:formatCode>General</c:formatCode>
                <c:ptCount val="3"/>
                <c:pt idx="0">
                  <c:v>10</c:v>
                </c:pt>
                <c:pt idx="1">
                  <c:v>4</c:v>
                </c:pt>
                <c:pt idx="2">
                  <c:v>4</c:v>
                </c:pt>
              </c:numCache>
            </c:numRef>
          </c:val>
          <c:extLst>
            <c:ext xmlns:c16="http://schemas.microsoft.com/office/drawing/2014/chart" uri="{C3380CC4-5D6E-409C-BE32-E72D297353CC}">
              <c16:uniqueId val="{0000004F-9B4B-432D-B209-F26600F991EC}"/>
            </c:ext>
          </c:extLst>
        </c:ser>
        <c:ser>
          <c:idx val="3"/>
          <c:order val="3"/>
          <c:tx>
            <c:strRef>
              <c:f>'Demographics Avenues'!$E$8:$E$9</c:f>
              <c:strCache>
                <c:ptCount val="1"/>
                <c:pt idx="0">
                  <c:v>Public Provident Fund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Avenues'!$A$10:$A$13</c:f>
              <c:strCache>
                <c:ptCount val="3"/>
                <c:pt idx="0">
                  <c:v>25 - 30</c:v>
                </c:pt>
                <c:pt idx="1">
                  <c:v>31+</c:v>
                </c:pt>
                <c:pt idx="2">
                  <c:v>Under 25</c:v>
                </c:pt>
              </c:strCache>
            </c:strRef>
          </c:cat>
          <c:val>
            <c:numRef>
              <c:f>'Demographics Avenues'!$E$10:$E$13</c:f>
              <c:numCache>
                <c:formatCode>General</c:formatCode>
                <c:ptCount val="3"/>
                <c:pt idx="0">
                  <c:v>3</c:v>
                </c:pt>
              </c:numCache>
            </c:numRef>
          </c:val>
          <c:extLst>
            <c:ext xmlns:c16="http://schemas.microsoft.com/office/drawing/2014/chart" uri="{C3380CC4-5D6E-409C-BE32-E72D297353CC}">
              <c16:uniqueId val="{00000050-9B4B-432D-B209-F26600F991EC}"/>
            </c:ext>
          </c:extLst>
        </c:ser>
        <c:dLbls>
          <c:dLblPos val="ctr"/>
          <c:showLegendKey val="0"/>
          <c:showVal val="1"/>
          <c:showCatName val="0"/>
          <c:showSerName val="0"/>
          <c:showPercent val="0"/>
          <c:showBubbleSize val="0"/>
        </c:dLbls>
        <c:gapWidth val="241"/>
        <c:overlap val="100"/>
        <c:axId val="899661999"/>
        <c:axId val="759242703"/>
      </c:barChart>
      <c:catAx>
        <c:axId val="89966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9242703"/>
        <c:crosses val="autoZero"/>
        <c:auto val="1"/>
        <c:lblAlgn val="ctr"/>
        <c:lblOffset val="100"/>
        <c:noMultiLvlLbl val="0"/>
      </c:catAx>
      <c:valAx>
        <c:axId val="7592427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61999"/>
        <c:crosses val="autoZero"/>
        <c:crossBetween val="between"/>
        <c:majorUnit val="0.2"/>
      </c:valAx>
      <c:spPr>
        <a:noFill/>
        <a:ln>
          <a:noFill/>
        </a:ln>
        <a:effectLst/>
      </c:spPr>
    </c:plotArea>
    <c:legend>
      <c:legendPos val="r"/>
      <c:layout>
        <c:manualLayout>
          <c:xMode val="edge"/>
          <c:yMode val="edge"/>
          <c:x val="0.7349860041584777"/>
          <c:y val="0.21665217545437415"/>
          <c:w val="0.26501399584152224"/>
          <c:h val="0.511764936366163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[Finance_data.xlsx]Behaviour Motivation!Respondents by Investment Factor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Respondents by Investment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s>
    <c:plotArea>
      <c:layout/>
      <c:doughnutChart>
        <c:varyColors val="1"/>
        <c:ser>
          <c:idx val="0"/>
          <c:order val="0"/>
          <c:tx>
            <c:strRef>
              <c:f>'Behaviour Motivation'!$B$5</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CEDB-42F5-89D9-B9C1153D4FB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CEDB-42F5-89D9-B9C1153D4FB1}"/>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CEDB-42F5-89D9-B9C1153D4F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'Behaviour Motivation'!$A$6:$A$9</c:f>
              <c:strCache>
                <c:ptCount val="3"/>
                <c:pt idx="0">
                  <c:v>Locking Period</c:v>
                </c:pt>
                <c:pt idx="1">
                  <c:v>Returns</c:v>
                </c:pt>
                <c:pt idx="2">
                  <c:v>Risk</c:v>
                </c:pt>
              </c:strCache>
            </c:strRef>
          </c:cat>
          <c:val>
            <c:numRef>
              <c:f>'Behaviour Motivation'!$B$6:$B$9</c:f>
              <c:numCache>
                <c:formatCode>General</c:formatCode>
                <c:ptCount val="3"/>
                <c:pt idx="0">
                  <c:v>1</c:v>
                </c:pt>
                <c:pt idx="1">
                  <c:v>25</c:v>
                </c:pt>
                <c:pt idx="2">
                  <c:v>14</c:v>
                </c:pt>
              </c:numCache>
            </c:numRef>
          </c:val>
          <c:extLst>
            <c:ext xmlns:c16="http://schemas.microsoft.com/office/drawing/2014/chart" uri="{C3380CC4-5D6E-409C-BE32-E72D297353CC}">
              <c16:uniqueId val="{00000006-CEDB-42F5-89D9-B9C1153D4FB1}"/>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[Finance_data.xlsx]Demographics Avenues!Gender_By-Products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By Average Investment Ranks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'Demographics Avenues'!$B$18</c:f>
              <c:strCache>
                <c:ptCount val="1"/>
                <c:pt idx="0">
                  <c:v>Average Mutual_Funds</c:v>
                </c:pt>
              </c:strCache>
            </c:strRef>
          </c:tx>
          <c:spPr>
            <a:solidFill>
              <a:schemeClr val="accent6">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Avenues'!$B$19:$B$21</c:f>
              <c:numCache>
                <c:formatCode>0</c:formatCode>
                <c:ptCount val="2"/>
                <c:pt idx="0">
                  <c:v>2.7333333333333334</c:v>
                </c:pt>
                <c:pt idx="1">
                  <c:v>2.44</c:v>
                </c:pt>
              </c:numCache>
            </c:numRef>
          </c:val>
          <c:extLst>
            <c:ext xmlns:c16="http://schemas.microsoft.com/office/drawing/2014/chart" uri="{C3380CC4-5D6E-409C-BE32-E72D297353CC}">
              <c16:uniqueId val="{00000000-2565-49C6-B2ED-B6DCA5032631}"/>
            </c:ext>
          </c:extLst>
        </c:ser>
        <c:ser>
          <c:idx val="1"/>
          <c:order val="1"/>
          <c:tx>
            <c:strRef>
              <c:f>'Demographics Avenues'!$C$18</c:f>
              <c:strCache>
                <c:ptCount val="1"/>
                <c:pt idx="0">
                  <c:v>Average Equity_Market</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Avenues'!$C$19:$C$21</c:f>
              <c:numCache>
                <c:formatCode>0</c:formatCode>
                <c:ptCount val="2"/>
                <c:pt idx="0">
                  <c:v>3.3333333333333335</c:v>
                </c:pt>
                <c:pt idx="1">
                  <c:v>3.56</c:v>
                </c:pt>
              </c:numCache>
            </c:numRef>
          </c:val>
          <c:extLst>
            <c:ext xmlns:c16="http://schemas.microsoft.com/office/drawing/2014/chart" uri="{C3380CC4-5D6E-409C-BE32-E72D297353CC}">
              <c16:uniqueId val="{00000001-2565-49C6-B2ED-B6DCA5032631}"/>
            </c:ext>
          </c:extLst>
        </c:ser>
        <c:ser>
          <c:idx val="2"/>
          <c:order val="2"/>
          <c:tx>
            <c:strRef>
              <c:f>'Demographics Avenues'!$D$18</c:f>
              <c:strCache>
                <c:ptCount val="1"/>
                <c:pt idx="0">
                  <c:v>Average Debentures</c:v>
                </c:pt>
              </c:strCache>
            </c:strRef>
          </c:tx>
          <c:spPr>
            <a:solidFill>
              <a:schemeClr val="accent6">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Avenues'!$D$19:$D$21</c:f>
              <c:numCache>
                <c:formatCode>0</c:formatCode>
                <c:ptCount val="2"/>
                <c:pt idx="0">
                  <c:v>5.2</c:v>
                </c:pt>
                <c:pt idx="1">
                  <c:v>6.08</c:v>
                </c:pt>
              </c:numCache>
            </c:numRef>
          </c:val>
          <c:extLst>
            <c:ext xmlns:c16="http://schemas.microsoft.com/office/drawing/2014/chart" uri="{C3380CC4-5D6E-409C-BE32-E72D297353CC}">
              <c16:uniqueId val="{00000002-2565-49C6-B2ED-B6DCA5032631}"/>
            </c:ext>
          </c:extLst>
        </c:ser>
        <c:ser>
          <c:idx val="3"/>
          <c:order val="3"/>
          <c:tx>
            <c:strRef>
              <c:f>'Demographics Avenues'!$E$18</c:f>
              <c:strCache>
                <c:ptCount val="1"/>
                <c:pt idx="0">
                  <c:v>Average Govt_Bonds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Avenues'!$E$19:$E$21</c:f>
              <c:numCache>
                <c:formatCode>0</c:formatCode>
                <c:ptCount val="2"/>
                <c:pt idx="0">
                  <c:v>4.333333333333333</c:v>
                </c:pt>
                <c:pt idx="1">
                  <c:v>4.84</c:v>
                </c:pt>
              </c:numCache>
            </c:numRef>
          </c:val>
          <c:extLst>
            <c:ext xmlns:c16="http://schemas.microsoft.com/office/drawing/2014/chart" uri="{C3380CC4-5D6E-409C-BE32-E72D297353CC}">
              <c16:uniqueId val="{00000003-2565-49C6-B2ED-B6DCA5032631}"/>
            </c:ext>
          </c:extLst>
        </c:ser>
        <c:ser>
          <c:idx val="4"/>
          <c:order val="4"/>
          <c:tx>
            <c:strRef>
              <c:f>'Demographics Avenues'!$F$18</c:f>
              <c:strCache>
                <c:ptCount val="1"/>
                <c:pt idx="0">
                  <c:v>Average Fixed_Deposits</c:v>
                </c:pt>
              </c:strCache>
            </c:strRef>
          </c:tx>
          <c:spPr>
            <a:solidFill>
              <a:schemeClr val="accent6">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Avenues'!$F$19:$F$21</c:f>
              <c:numCache>
                <c:formatCode>0</c:formatCode>
                <c:ptCount val="2"/>
                <c:pt idx="0">
                  <c:v>4.2</c:v>
                </c:pt>
                <c:pt idx="1">
                  <c:v>3.2</c:v>
                </c:pt>
              </c:numCache>
            </c:numRef>
          </c:val>
          <c:extLst>
            <c:ext xmlns:c16="http://schemas.microsoft.com/office/drawing/2014/chart" uri="{C3380CC4-5D6E-409C-BE32-E72D297353CC}">
              <c16:uniqueId val="{00000004-2565-49C6-B2ED-B6DCA5032631}"/>
            </c:ext>
          </c:extLst>
        </c:ser>
        <c:ser>
          <c:idx val="5"/>
          <c:order val="5"/>
          <c:tx>
            <c:strRef>
              <c:f>'Demographics Avenues'!$G$18</c:f>
              <c:strCache>
                <c:ptCount val="1"/>
                <c:pt idx="0">
                  <c:v>Average PPF</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Avenues'!$G$19:$G$21</c:f>
              <c:numCache>
                <c:formatCode>0</c:formatCode>
                <c:ptCount val="2"/>
                <c:pt idx="0">
                  <c:v>2.3333333333333335</c:v>
                </c:pt>
                <c:pt idx="1">
                  <c:v>1.84</c:v>
                </c:pt>
              </c:numCache>
            </c:numRef>
          </c:val>
          <c:extLst>
            <c:ext xmlns:c16="http://schemas.microsoft.com/office/drawing/2014/chart" uri="{C3380CC4-5D6E-409C-BE32-E72D297353CC}">
              <c16:uniqueId val="{00000005-2565-49C6-B2ED-B6DCA5032631}"/>
            </c:ext>
          </c:extLst>
        </c:ser>
        <c:ser>
          <c:idx val="6"/>
          <c:order val="6"/>
          <c:tx>
            <c:strRef>
              <c:f>'Demographics Avenues'!$H$18</c:f>
              <c:strCache>
                <c:ptCount val="1"/>
                <c:pt idx="0">
                  <c:v>Average Gold</c:v>
                </c:pt>
              </c:strCache>
            </c:strRef>
          </c:tx>
          <c:spPr>
            <a:solidFill>
              <a:schemeClr val="accent6">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 Avenues'!$A$19:$A$21</c:f>
              <c:strCache>
                <c:ptCount val="2"/>
                <c:pt idx="0">
                  <c:v>Female</c:v>
                </c:pt>
                <c:pt idx="1">
                  <c:v>Male</c:v>
                </c:pt>
              </c:strCache>
            </c:strRef>
          </c:cat>
          <c:val>
            <c:numRef>
              <c:f>'Demographics Avenues'!$H$19:$H$21</c:f>
              <c:numCache>
                <c:formatCode>0</c:formatCode>
                <c:ptCount val="2"/>
                <c:pt idx="0">
                  <c:v>5.8666666666666663</c:v>
                </c:pt>
                <c:pt idx="1">
                  <c:v>6.04</c:v>
                </c:pt>
              </c:numCache>
            </c:numRef>
          </c:val>
          <c:extLst>
            <c:ext xmlns:c16="http://schemas.microsoft.com/office/drawing/2014/chart" uri="{C3380CC4-5D6E-409C-BE32-E72D297353CC}">
              <c16:uniqueId val="{00000006-2565-49C6-B2ED-B6DCA5032631}"/>
            </c:ext>
          </c:extLst>
        </c:ser>
        <c:dLbls>
          <c:dLblPos val="ctr"/>
          <c:showLegendKey val="0"/>
          <c:showVal val="1"/>
          <c:showCatName val="0"/>
          <c:showSerName val="0"/>
          <c:showPercent val="0"/>
          <c:showBubbleSize val="0"/>
        </c:dLbls>
        <c:gapWidth val="339"/>
        <c:overlap val="100"/>
        <c:axId val="179834831"/>
        <c:axId val="48162095"/>
      </c:barChart>
      <c:catAx>
        <c:axId val="17983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162095"/>
        <c:crosses val="autoZero"/>
        <c:auto val="1"/>
        <c:lblAlgn val="ctr"/>
        <c:lblOffset val="100"/>
        <c:noMultiLvlLbl val="0"/>
      </c:catAx>
      <c:valAx>
        <c:axId val="48162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590550</xdr:colOff>
      <xdr:row>0</xdr:row>
      <xdr:rowOff>104775</xdr:rowOff>
    </xdr:from>
    <xdr:to>
      <xdr:col>20</xdr:col>
      <xdr:colOff>47625</xdr:colOff>
      <xdr:row>31</xdr:row>
      <xdr:rowOff>0</xdr:rowOff>
    </xdr:to>
    <xdr:grpSp>
      <xdr:nvGrpSpPr>
        <xdr:cNvPr id="23" name="Group 22">
          <a:extLst>
            <a:ext uri="{FF2B5EF4-FFF2-40B4-BE49-F238E27FC236}">
              <a16:creationId xmlns:a16="http://schemas.microsoft.com/office/drawing/2014/main" id="{F3B382A7-875B-9984-3858-CE824E761A08}"/>
            </a:ext>
          </a:extLst>
        </xdr:cNvPr>
        <xdr:cNvGrpSpPr/>
      </xdr:nvGrpSpPr>
      <xdr:grpSpPr>
        <a:xfrm>
          <a:off x="590550" y="104775"/>
          <a:ext cx="11639550" cy="5800725"/>
          <a:chOff x="590550" y="42965"/>
          <a:chExt cx="11743898" cy="6510243"/>
        </a:xfrm>
      </xdr:grpSpPr>
      <xdr:grpSp>
        <xdr:nvGrpSpPr>
          <xdr:cNvPr id="21" name="Group 20">
            <a:extLst>
              <a:ext uri="{FF2B5EF4-FFF2-40B4-BE49-F238E27FC236}">
                <a16:creationId xmlns:a16="http://schemas.microsoft.com/office/drawing/2014/main" id="{A4265E98-6407-8870-2CE8-51151DA4B75E}"/>
              </a:ext>
            </a:extLst>
          </xdr:cNvPr>
          <xdr:cNvGrpSpPr/>
        </xdr:nvGrpSpPr>
        <xdr:grpSpPr>
          <a:xfrm>
            <a:off x="676275" y="533401"/>
            <a:ext cx="11658173" cy="6019807"/>
            <a:chOff x="790575" y="400051"/>
            <a:chExt cx="13119000" cy="6124583"/>
          </a:xfrm>
        </xdr:grpSpPr>
        <xdr:sp macro="" textlink="'Demographics Avenues'!E3">
          <xdr:nvSpPr>
            <xdr:cNvPr id="6" name="Rectangle: Diagonal Corners Rounded 5">
              <a:extLst>
                <a:ext uri="{FF2B5EF4-FFF2-40B4-BE49-F238E27FC236}">
                  <a16:creationId xmlns:a16="http://schemas.microsoft.com/office/drawing/2014/main" id="{D106DC9C-E3B3-20D0-7C59-053DF40F3331}"/>
                </a:ext>
              </a:extLst>
            </xdr:cNvPr>
            <xdr:cNvSpPr/>
          </xdr:nvSpPr>
          <xdr:spPr>
            <a:xfrm>
              <a:off x="799534" y="447676"/>
              <a:ext cx="1791832" cy="714376"/>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42D82650-725E-478A-B6C8-105481EE4AF7}" type="TxLink">
                <a:rPr lang="en-US" sz="1600" b="0" i="0" u="none" strike="noStrike">
                  <a:solidFill>
                    <a:srgbClr val="000000"/>
                  </a:solidFill>
                  <a:latin typeface="Calibri"/>
                  <a:ea typeface="Calibri"/>
                  <a:cs typeface="Calibri"/>
                </a:rPr>
                <a:pPr algn="ctr"/>
                <a:t>100%</a:t>
              </a:fld>
              <a:endParaRPr lang="en-US" sz="1400"/>
            </a:p>
          </xdr:txBody>
        </xdr:sp>
        <xdr:sp macro="" textlink="'Demographics Avenues'!G3">
          <xdr:nvSpPr>
            <xdr:cNvPr id="7" name="Rectangle: Diagonal Corners Rounded 6">
              <a:extLst>
                <a:ext uri="{FF2B5EF4-FFF2-40B4-BE49-F238E27FC236}">
                  <a16:creationId xmlns:a16="http://schemas.microsoft.com/office/drawing/2014/main" id="{B142D517-16C2-41CD-B2C3-E4749BE43FC2}"/>
                </a:ext>
              </a:extLst>
            </xdr:cNvPr>
            <xdr:cNvSpPr/>
          </xdr:nvSpPr>
          <xdr:spPr>
            <a:xfrm>
              <a:off x="2787015" y="428626"/>
              <a:ext cx="1809750" cy="714376"/>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BCB19A7C-393E-4292-B1EA-E0F03C096604}" type="TxLink">
                <a:rPr lang="en-US" sz="1600" b="0" i="0" u="none" strike="noStrike">
                  <a:solidFill>
                    <a:srgbClr val="000000"/>
                  </a:solidFill>
                  <a:latin typeface="Calibri"/>
                  <a:ea typeface="Calibri"/>
                  <a:cs typeface="Calibri"/>
                </a:rPr>
                <a:pPr algn="ctr"/>
                <a:t>100%</a:t>
              </a:fld>
              <a:endParaRPr lang="en-US" sz="1100"/>
            </a:p>
          </xdr:txBody>
        </xdr:sp>
        <xdr:sp macro="" textlink="'Demographics Avenues'!A3">
          <xdr:nvSpPr>
            <xdr:cNvPr id="8" name="Rectangle: Diagonal Corners Rounded 7">
              <a:extLst>
                <a:ext uri="{FF2B5EF4-FFF2-40B4-BE49-F238E27FC236}">
                  <a16:creationId xmlns:a16="http://schemas.microsoft.com/office/drawing/2014/main" id="{22FAA947-A1A1-4D0F-A554-073013049D3E}"/>
                </a:ext>
              </a:extLst>
            </xdr:cNvPr>
            <xdr:cNvSpPr/>
          </xdr:nvSpPr>
          <xdr:spPr>
            <a:xfrm>
              <a:off x="4783455" y="400051"/>
              <a:ext cx="1809750" cy="714377"/>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90B3DF3-89AC-4F2A-9F6B-310876FD5C8C}" type="TxLink">
                <a:rPr lang="en-US" sz="1600" b="0" i="0" u="none" strike="noStrike">
                  <a:solidFill>
                    <a:srgbClr val="000000"/>
                  </a:solidFill>
                  <a:latin typeface="Calibri"/>
                  <a:ea typeface="Calibri"/>
                  <a:cs typeface="Calibri"/>
                </a:rPr>
                <a:pPr algn="ctr"/>
                <a:t>40</a:t>
              </a:fld>
              <a:endParaRPr lang="en-US" sz="1100"/>
            </a:p>
          </xdr:txBody>
        </xdr:sp>
        <xdr:sp macro="" textlink="'Demographics Avenues'!C3">
          <xdr:nvSpPr>
            <xdr:cNvPr id="9" name="Rectangle: Diagonal Corners Rounded 8">
              <a:extLst>
                <a:ext uri="{FF2B5EF4-FFF2-40B4-BE49-F238E27FC236}">
                  <a16:creationId xmlns:a16="http://schemas.microsoft.com/office/drawing/2014/main" id="{D47D5679-37FB-4D4C-A48D-D832E033270F}"/>
                </a:ext>
              </a:extLst>
            </xdr:cNvPr>
            <xdr:cNvSpPr/>
          </xdr:nvSpPr>
          <xdr:spPr>
            <a:xfrm>
              <a:off x="6779894" y="409576"/>
              <a:ext cx="1809750" cy="714377"/>
            </a:xfrm>
            <a:prstGeom prst="round2Diag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451BD9F4-183E-4C52-96D9-A08B31B45066}" type="TxLink">
                <a:rPr lang="en-US" sz="1600" b="0" i="0" u="none" strike="noStrike">
                  <a:solidFill>
                    <a:srgbClr val="000000"/>
                  </a:solidFill>
                  <a:latin typeface="Calibri"/>
                  <a:ea typeface="Calibri"/>
                  <a:cs typeface="Calibri"/>
                </a:rPr>
                <a:pPr algn="ctr"/>
                <a:t>28</a:t>
              </a:fld>
              <a:endParaRPr lang="en-US" sz="1600"/>
            </a:p>
          </xdr:txBody>
        </xdr:sp>
        <xdr:graphicFrame macro="">
          <xdr:nvGraphicFramePr>
            <xdr:cNvPr id="11" name="Savings Reasoacn By Respondent">
              <a:extLst>
                <a:ext uri="{FF2B5EF4-FFF2-40B4-BE49-F238E27FC236}">
                  <a16:creationId xmlns:a16="http://schemas.microsoft.com/office/drawing/2014/main" id="{86B8AD92-0AAF-4AA8-A053-60D68A6799F8}"/>
                </a:ext>
              </a:extLst>
            </xdr:cNvPr>
            <xdr:cNvGraphicFramePr>
              <a:graphicFrameLocks/>
            </xdr:cNvGraphicFramePr>
          </xdr:nvGraphicFramePr>
          <xdr:xfrm>
            <a:off x="4105275" y="1219202"/>
            <a:ext cx="3895725" cy="246697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Respondents By Attraction Source ">
              <a:extLst>
                <a:ext uri="{FF2B5EF4-FFF2-40B4-BE49-F238E27FC236}">
                  <a16:creationId xmlns:a16="http://schemas.microsoft.com/office/drawing/2014/main" id="{4237B08C-AD14-426B-958D-2A5A0D2319D5}"/>
                </a:ext>
              </a:extLst>
            </xdr:cNvPr>
            <xdr:cNvGraphicFramePr>
              <a:graphicFrameLocks/>
            </xdr:cNvGraphicFramePr>
          </xdr:nvGraphicFramePr>
          <xdr:xfrm>
            <a:off x="8810623" y="3762380"/>
            <a:ext cx="3190875" cy="276225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Avenue Selection By Age Group">
              <a:extLst>
                <a:ext uri="{FF2B5EF4-FFF2-40B4-BE49-F238E27FC236}">
                  <a16:creationId xmlns:a16="http://schemas.microsoft.com/office/drawing/2014/main" id="{C2AE59FC-BE29-4095-9F3F-D77C6A6404A6}"/>
                </a:ext>
              </a:extLst>
            </xdr:cNvPr>
            <xdr:cNvGraphicFramePr>
              <a:graphicFrameLocks/>
            </xdr:cNvGraphicFramePr>
          </xdr:nvGraphicFramePr>
          <xdr:xfrm>
            <a:off x="8134348" y="1243015"/>
            <a:ext cx="3848098" cy="244792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7E2EE003-BC6C-4131-A596-3E349BDBCEF0}"/>
                </a:ext>
              </a:extLst>
            </xdr:cNvPr>
            <xdr:cNvGraphicFramePr>
              <a:graphicFrameLocks/>
            </xdr:cNvGraphicFramePr>
          </xdr:nvGraphicFramePr>
          <xdr:xfrm>
            <a:off x="790575" y="1247777"/>
            <a:ext cx="3238500" cy="244792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47DC60FE-9CD4-4CC3-B9B3-B8CE5268CBA0}"/>
                </a:ext>
              </a:extLst>
            </xdr:cNvPr>
            <xdr:cNvGraphicFramePr>
              <a:graphicFrameLocks/>
            </xdr:cNvGraphicFramePr>
          </xdr:nvGraphicFramePr>
          <xdr:xfrm>
            <a:off x="800100" y="3752854"/>
            <a:ext cx="7858123" cy="2771779"/>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2" name="Avenue 1">
                  <a:extLst>
                    <a:ext uri="{FF2B5EF4-FFF2-40B4-BE49-F238E27FC236}">
                      <a16:creationId xmlns:a16="http://schemas.microsoft.com/office/drawing/2014/main" id="{8C85D800-7C96-4327-AACD-EAFD688C7A91}"/>
                    </a:ext>
                  </a:extLst>
                </xdr:cNvPr>
                <xdr:cNvGraphicFramePr/>
              </xdr:nvGraphicFramePr>
              <xdr:xfrm>
                <a:off x="12080775" y="434008"/>
                <a:ext cx="1828799" cy="1603157"/>
              </xdr:xfrm>
              <a:graphic>
                <a:graphicData uri="http://schemas.microsoft.com/office/drawing/2010/slicer">
                  <sle:slicer xmlns:sle="http://schemas.microsoft.com/office/drawing/2010/slicer" name="Avenue 1"/>
                </a:graphicData>
              </a:graphic>
            </xdr:graphicFrame>
          </mc:Choice>
          <mc:Fallback>
            <xdr:sp macro="" textlink="">
              <xdr:nvSpPr>
                <xdr:cNvPr id="0" name=""/>
                <xdr:cNvSpPr>
                  <a:spLocks noTextEdit="1"/>
                </xdr:cNvSpPr>
              </xdr:nvSpPr>
              <xdr:spPr>
                <a:xfrm>
                  <a:off x="10619381" y="571500"/>
                  <a:ext cx="1610719" cy="140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Stock_Market">
                  <a:extLst>
                    <a:ext uri="{FF2B5EF4-FFF2-40B4-BE49-F238E27FC236}">
                      <a16:creationId xmlns:a16="http://schemas.microsoft.com/office/drawing/2014/main" id="{78A84B7D-AE25-450D-BFCC-48F5582C973F}"/>
                    </a:ext>
                  </a:extLst>
                </xdr:cNvPr>
                <xdr:cNvGraphicFramePr/>
              </xdr:nvGraphicFramePr>
              <xdr:xfrm>
                <a:off x="12080775" y="2073832"/>
                <a:ext cx="1828799" cy="986558"/>
              </xdr:xfrm>
              <a:graphic>
                <a:graphicData uri="http://schemas.microsoft.com/office/drawing/2010/slicer">
                  <sle:slicer xmlns:sle="http://schemas.microsoft.com/office/drawing/2010/slicer" name="Stock_Market"/>
                </a:graphicData>
              </a:graphic>
            </xdr:graphicFrame>
          </mc:Choice>
          <mc:Fallback>
            <xdr:sp macro="" textlink="">
              <xdr:nvSpPr>
                <xdr:cNvPr id="0" name=""/>
                <xdr:cNvSpPr>
                  <a:spLocks noTextEdit="1"/>
                </xdr:cNvSpPr>
              </xdr:nvSpPr>
              <xdr:spPr>
                <a:xfrm>
                  <a:off x="10619381" y="2007612"/>
                  <a:ext cx="1610719" cy="8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7945BEC5-9B5A-4000-A896-3F72893BCDC6}"/>
                    </a:ext>
                  </a:extLst>
                </xdr:cNvPr>
                <xdr:cNvGraphicFramePr/>
              </xdr:nvGraphicFramePr>
              <xdr:xfrm>
                <a:off x="12080775" y="3097057"/>
                <a:ext cx="1828799" cy="986558"/>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619381" y="2903724"/>
                  <a:ext cx="1610719" cy="8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Investment_Avenue">
                  <a:extLst>
                    <a:ext uri="{FF2B5EF4-FFF2-40B4-BE49-F238E27FC236}">
                      <a16:creationId xmlns:a16="http://schemas.microsoft.com/office/drawing/2014/main" id="{2D7F65DB-DE96-4E0A-859F-DFDF8CDEBD3B}"/>
                    </a:ext>
                  </a:extLst>
                </xdr:cNvPr>
                <xdr:cNvGraphicFramePr/>
              </xdr:nvGraphicFramePr>
              <xdr:xfrm>
                <a:off x="12080775" y="4120282"/>
                <a:ext cx="1828799" cy="986558"/>
              </xdr:xfrm>
              <a:graphic>
                <a:graphicData uri="http://schemas.microsoft.com/office/drawing/2010/slicer">
                  <sle:slicer xmlns:sle="http://schemas.microsoft.com/office/drawing/2010/slicer" name="Investment_Avenue"/>
                </a:graphicData>
              </a:graphic>
            </xdr:graphicFrame>
          </mc:Choice>
          <mc:Fallback>
            <xdr:sp macro="" textlink="">
              <xdr:nvSpPr>
                <xdr:cNvPr id="0" name=""/>
                <xdr:cNvSpPr>
                  <a:spLocks noTextEdit="1"/>
                </xdr:cNvSpPr>
              </xdr:nvSpPr>
              <xdr:spPr>
                <a:xfrm>
                  <a:off x="10619381" y="3799836"/>
                  <a:ext cx="1610719" cy="8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Age Category">
                  <a:extLst>
                    <a:ext uri="{FF2B5EF4-FFF2-40B4-BE49-F238E27FC236}">
                      <a16:creationId xmlns:a16="http://schemas.microsoft.com/office/drawing/2014/main" id="{8DF4AE47-ABEA-46E4-80E1-853A35D7BCA7}"/>
                    </a:ext>
                  </a:extLst>
                </xdr:cNvPr>
                <xdr:cNvGraphicFramePr/>
              </xdr:nvGraphicFramePr>
              <xdr:xfrm>
                <a:off x="12080776" y="5143506"/>
                <a:ext cx="1828799" cy="1371704"/>
              </xdr:xfrm>
              <a:graphic>
                <a:graphicData uri="http://schemas.microsoft.com/office/drawing/2010/slicer">
                  <sle:slicer xmlns:sle="http://schemas.microsoft.com/office/drawing/2010/slicer" name="Age Category"/>
                </a:graphicData>
              </a:graphic>
            </xdr:graphicFrame>
          </mc:Choice>
          <mc:Fallback>
            <xdr:sp macro="" textlink="">
              <xdr:nvSpPr>
                <xdr:cNvPr id="0" name=""/>
                <xdr:cNvSpPr>
                  <a:spLocks noTextEdit="1"/>
                </xdr:cNvSpPr>
              </xdr:nvSpPr>
              <xdr:spPr>
                <a:xfrm>
                  <a:off x="10619381" y="4695947"/>
                  <a:ext cx="1610719" cy="120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 name="Rectangle: Rounded Corners 18">
              <a:extLst>
                <a:ext uri="{FF2B5EF4-FFF2-40B4-BE49-F238E27FC236}">
                  <a16:creationId xmlns:a16="http://schemas.microsoft.com/office/drawing/2014/main" id="{1076047E-53F2-AE4F-7323-E3450EAD0A97}"/>
                </a:ext>
              </a:extLst>
            </xdr:cNvPr>
            <xdr:cNvSpPr/>
          </xdr:nvSpPr>
          <xdr:spPr>
            <a:xfrm>
              <a:off x="9021368" y="418674"/>
              <a:ext cx="1323975" cy="428626"/>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r>
                <a:rPr lang="en-US" sz="1200">
                  <a:solidFill>
                    <a:schemeClr val="lt1"/>
                  </a:solidFill>
                  <a:effectLst/>
                  <a:latin typeface="+mn-lt"/>
                  <a:ea typeface="+mn-ea"/>
                  <a:cs typeface="+mn-cs"/>
                </a:rPr>
                <a:t>Select</a:t>
              </a:r>
              <a:r>
                <a:rPr lang="en-US" sz="1200" baseline="0">
                  <a:solidFill>
                    <a:schemeClr val="lt1"/>
                  </a:solidFill>
                  <a:effectLst/>
                  <a:latin typeface="+mn-lt"/>
                  <a:ea typeface="+mn-ea"/>
                  <a:cs typeface="+mn-cs"/>
                </a:rPr>
                <a:t> Avenue </a:t>
              </a:r>
              <a:endParaRPr lang="en-US" sz="1400">
                <a:effectLst/>
              </a:endParaRPr>
            </a:p>
          </xdr:txBody>
        </xdr:sp>
        <xdr:sp macro="" textlink="">
          <xdr:nvSpPr>
            <xdr:cNvPr id="20" name="Rectangle: Rounded Corners 19">
              <a:extLst>
                <a:ext uri="{FF2B5EF4-FFF2-40B4-BE49-F238E27FC236}">
                  <a16:creationId xmlns:a16="http://schemas.microsoft.com/office/drawing/2014/main" id="{57163788-5AB4-41F6-9D84-2EF66E0740AC}"/>
                </a:ext>
              </a:extLst>
            </xdr:cNvPr>
            <xdr:cNvSpPr/>
          </xdr:nvSpPr>
          <xdr:spPr>
            <a:xfrm>
              <a:off x="10500959" y="434007"/>
              <a:ext cx="1343025" cy="428625"/>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050"/>
                <a:t>Average Rank</a:t>
              </a:r>
            </a:p>
          </xdr:txBody>
        </xdr:sp>
      </xdr:grpSp>
      <xdr:sp macro="" textlink="">
        <xdr:nvSpPr>
          <xdr:cNvPr id="22" name="Rectangle: Diagonal Corners Rounded 21">
            <a:extLst>
              <a:ext uri="{FF2B5EF4-FFF2-40B4-BE49-F238E27FC236}">
                <a16:creationId xmlns:a16="http://schemas.microsoft.com/office/drawing/2014/main" id="{B7977FD4-4647-9C63-5BCA-A5DBDCB46BEB}"/>
              </a:ext>
            </a:extLst>
          </xdr:cNvPr>
          <xdr:cNvSpPr/>
        </xdr:nvSpPr>
        <xdr:spPr>
          <a:xfrm>
            <a:off x="590550" y="42965"/>
            <a:ext cx="7877175" cy="395532"/>
          </a:xfrm>
          <a:prstGeom prst="round2Diag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chemeClr val="accent6"/>
                </a:solidFill>
              </a:rPr>
              <a:t>INVESTOR</a:t>
            </a:r>
            <a:r>
              <a:rPr lang="en-US" sz="2800" b="1" baseline="0">
                <a:solidFill>
                  <a:schemeClr val="accent6"/>
                </a:solidFill>
              </a:rPr>
              <a:t> PREFERENCES SURVEY DASHBOARD</a:t>
            </a:r>
            <a:endParaRPr lang="en-US" sz="1050" b="1">
              <a:solidFill>
                <a:schemeClr val="accent6"/>
              </a:solidFill>
            </a:endParaRPr>
          </a:p>
        </xdr:txBody>
      </xdr:sp>
    </xdr:grpSp>
    <xdr:clientData/>
  </xdr:twoCellAnchor>
  <xdr:twoCellAnchor>
    <xdr:from>
      <xdr:col>1</xdr:col>
      <xdr:colOff>155258</xdr:colOff>
      <xdr:row>3</xdr:row>
      <xdr:rowOff>85725</xdr:rowOff>
    </xdr:from>
    <xdr:to>
      <xdr:col>3</xdr:col>
      <xdr:colOff>340043</xdr:colOff>
      <xdr:row>4</xdr:row>
      <xdr:rowOff>104775</xdr:rowOff>
    </xdr:to>
    <xdr:sp macro="" textlink="">
      <xdr:nvSpPr>
        <xdr:cNvPr id="24" name="Rectangle: Rounded Corners 23">
          <a:extLst>
            <a:ext uri="{FF2B5EF4-FFF2-40B4-BE49-F238E27FC236}">
              <a16:creationId xmlns:a16="http://schemas.microsoft.com/office/drawing/2014/main" id="{3DD8AD4C-8FD8-315F-4C3E-DE657CC731A2}"/>
            </a:ext>
          </a:extLst>
        </xdr:cNvPr>
        <xdr:cNvSpPr/>
      </xdr:nvSpPr>
      <xdr:spPr>
        <a:xfrm>
          <a:off x="764858" y="657225"/>
          <a:ext cx="1403985" cy="20955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accent6"/>
              </a:solidFill>
            </a:rPr>
            <a:t>% Of Invest_</a:t>
          </a:r>
          <a:r>
            <a:rPr lang="en-US" sz="1100" b="1">
              <a:solidFill>
                <a:schemeClr val="accent6"/>
              </a:solidFill>
            </a:rPr>
            <a:t>Avenue</a:t>
          </a:r>
          <a:endParaRPr lang="en-US" sz="1000" b="1">
            <a:solidFill>
              <a:schemeClr val="accent6"/>
            </a:solidFill>
          </a:endParaRPr>
        </a:p>
      </xdr:txBody>
    </xdr:sp>
    <xdr:clientData/>
  </xdr:twoCellAnchor>
  <xdr:twoCellAnchor>
    <xdr:from>
      <xdr:col>9</xdr:col>
      <xdr:colOff>545783</xdr:colOff>
      <xdr:row>3</xdr:row>
      <xdr:rowOff>57150</xdr:rowOff>
    </xdr:from>
    <xdr:to>
      <xdr:col>12</xdr:col>
      <xdr:colOff>120968</xdr:colOff>
      <xdr:row>4</xdr:row>
      <xdr:rowOff>57150</xdr:rowOff>
    </xdr:to>
    <xdr:sp macro="" textlink="">
      <xdr:nvSpPr>
        <xdr:cNvPr id="25" name="Rectangle: Rounded Corners 24">
          <a:extLst>
            <a:ext uri="{FF2B5EF4-FFF2-40B4-BE49-F238E27FC236}">
              <a16:creationId xmlns:a16="http://schemas.microsoft.com/office/drawing/2014/main" id="{EE49BC29-5A2B-49C2-8467-A60D4AC0BA06}"/>
            </a:ext>
          </a:extLst>
        </xdr:cNvPr>
        <xdr:cNvSpPr/>
      </xdr:nvSpPr>
      <xdr:spPr>
        <a:xfrm>
          <a:off x="6032183" y="628650"/>
          <a:ext cx="1403985" cy="1905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6"/>
              </a:solidFill>
            </a:rPr>
            <a:t>Average Age</a:t>
          </a:r>
        </a:p>
      </xdr:txBody>
    </xdr:sp>
    <xdr:clientData/>
  </xdr:twoCellAnchor>
  <xdr:twoCellAnchor>
    <xdr:from>
      <xdr:col>7</xdr:col>
      <xdr:colOff>12383</xdr:colOff>
      <xdr:row>3</xdr:row>
      <xdr:rowOff>66675</xdr:rowOff>
    </xdr:from>
    <xdr:to>
      <xdr:col>9</xdr:col>
      <xdr:colOff>197168</xdr:colOff>
      <xdr:row>4</xdr:row>
      <xdr:rowOff>66675</xdr:rowOff>
    </xdr:to>
    <xdr:sp macro="" textlink="">
      <xdr:nvSpPr>
        <xdr:cNvPr id="26" name="Rectangle: Rounded Corners 25">
          <a:extLst>
            <a:ext uri="{FF2B5EF4-FFF2-40B4-BE49-F238E27FC236}">
              <a16:creationId xmlns:a16="http://schemas.microsoft.com/office/drawing/2014/main" id="{A41F012B-24D2-488B-80D1-4183F289E280}"/>
            </a:ext>
          </a:extLst>
        </xdr:cNvPr>
        <xdr:cNvSpPr/>
      </xdr:nvSpPr>
      <xdr:spPr>
        <a:xfrm>
          <a:off x="4279583" y="638175"/>
          <a:ext cx="1403985" cy="1905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6"/>
              </a:solidFill>
            </a:rPr>
            <a:t>Total Survey</a:t>
          </a:r>
        </a:p>
      </xdr:txBody>
    </xdr:sp>
    <xdr:clientData/>
  </xdr:twoCellAnchor>
  <xdr:twoCellAnchor>
    <xdr:from>
      <xdr:col>4</xdr:col>
      <xdr:colOff>69533</xdr:colOff>
      <xdr:row>3</xdr:row>
      <xdr:rowOff>76200</xdr:rowOff>
    </xdr:from>
    <xdr:to>
      <xdr:col>6</xdr:col>
      <xdr:colOff>254318</xdr:colOff>
      <xdr:row>4</xdr:row>
      <xdr:rowOff>76200</xdr:rowOff>
    </xdr:to>
    <xdr:sp macro="" textlink="">
      <xdr:nvSpPr>
        <xdr:cNvPr id="27" name="Rectangle: Rounded Corners 26">
          <a:extLst>
            <a:ext uri="{FF2B5EF4-FFF2-40B4-BE49-F238E27FC236}">
              <a16:creationId xmlns:a16="http://schemas.microsoft.com/office/drawing/2014/main" id="{0976C99F-470D-4E7F-84A0-7EA40CD07549}"/>
            </a:ext>
          </a:extLst>
        </xdr:cNvPr>
        <xdr:cNvSpPr/>
      </xdr:nvSpPr>
      <xdr:spPr>
        <a:xfrm>
          <a:off x="2507933" y="647700"/>
          <a:ext cx="1403985" cy="1905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6"/>
              </a:solidFill>
            </a:rPr>
            <a:t>% Of Stock_Market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597008449076" createdVersion="8" refreshedVersion="8" minRefreshableVersion="3" recordCount="40" xr:uid="{AC7B5153-AC06-49E0-9AEA-993CB9DC2361}">
  <cacheSource type="worksheet">
    <worksheetSource name="Finance_Data"/>
  </cacheSource>
  <cacheFields count="25">
    <cacheField name="gender" numFmtId="0">
      <sharedItems count="2">
        <s v="Female"/>
        <s v="Male"/>
      </sharedItems>
    </cacheField>
    <cacheField name="age" numFmtId="0">
      <sharedItems containsSemiMixedTypes="0" containsString="0" containsNumber="1" containsInteger="1" minValue="21" maxValue="35"/>
    </cacheField>
    <cacheField name="Age Category" numFmtId="0">
      <sharedItems count="3">
        <s v="31+"/>
        <s v="Under 25"/>
        <s v="25 - 30"/>
      </sharedItems>
    </cacheField>
    <cacheField name="Investment_Avenues" numFmtId="0">
      <sharedItems count="2">
        <s v="Yes"/>
        <s v="No"/>
      </sharedItems>
    </cacheField>
    <cacheField name="Mutual_Funds" numFmtId="0">
      <sharedItems containsSemiMixedTypes="0" containsString="0" containsNumber="1" containsInteger="1" minValue="1" maxValue="7" count="6">
        <n v="1"/>
        <n v="4"/>
        <n v="3"/>
        <n v="2"/>
        <n v="7"/>
        <n v="5"/>
      </sharedItems>
    </cacheField>
    <cacheField name="Equity_Market" numFmtId="0">
      <sharedItems containsSemiMixedTypes="0" containsString="0" containsNumber="1" containsInteger="1" minValue="1" maxValue="6" count="6">
        <n v="2"/>
        <n v="3"/>
        <n v="6"/>
        <n v="1"/>
        <n v="5"/>
        <n v="4"/>
      </sharedItems>
    </cacheField>
    <cacheField name="Debentures" numFmtId="0">
      <sharedItems containsSemiMixedTypes="0" containsString="0" containsNumber="1" containsInteger="1" minValue="1" maxValue="7" count="7">
        <n v="5"/>
        <n v="2"/>
        <n v="4"/>
        <n v="3"/>
        <n v="7"/>
        <n v="6"/>
        <n v="1"/>
      </sharedItems>
    </cacheField>
    <cacheField name="Government_Bonds" numFmtId="0">
      <sharedItems containsSemiMixedTypes="0" containsString="0" containsNumber="1" containsInteger="1" minValue="1" maxValue="7" count="7">
        <n v="3"/>
        <n v="1"/>
        <n v="2"/>
        <n v="7"/>
        <n v="6"/>
        <n v="4"/>
        <n v="5"/>
      </sharedItems>
    </cacheField>
    <cacheField name="Fixed_Deposits" numFmtId="0">
      <sharedItems containsSemiMixedTypes="0" containsString="0" containsNumber="1" containsInteger="1" minValue="1" maxValue="7" count="7">
        <n v="7"/>
        <n v="5"/>
        <n v="6"/>
        <n v="4"/>
        <n v="3"/>
        <n v="1"/>
        <n v="2"/>
      </sharedItems>
    </cacheField>
    <cacheField name="PPF" numFmtId="0">
      <sharedItems containsSemiMixedTypes="0" containsString="0" containsNumber="1" containsInteger="1" minValue="1" maxValue="6" count="6">
        <n v="6"/>
        <n v="1"/>
        <n v="4"/>
        <n v="5"/>
        <n v="2"/>
        <n v="3"/>
      </sharedItems>
    </cacheField>
    <cacheField name="Gold" numFmtId="0">
      <sharedItems containsSemiMixedTypes="0" containsString="0" containsNumber="1" containsInteger="1" minValue="2" maxValue="7"/>
    </cacheField>
    <cacheField name="Stock_Market" numFmtId="0">
      <sharedItems count="2">
        <s v="Yes"/>
        <s v="No"/>
      </sharedItems>
    </cacheField>
    <cacheField name="Factor" numFmtId="0">
      <sharedItems count="3">
        <s v="Returns"/>
        <s v="Locking Period"/>
        <s v="Risk"/>
      </sharedItems>
    </cacheField>
    <cacheField name="Objective" numFmtId="0">
      <sharedItems count="3">
        <s v="Capital Appreciation"/>
        <s v="Income"/>
        <s v="Growth"/>
      </sharedItems>
    </cacheField>
    <cacheField name="Purpose" numFmtId="0">
      <sharedItems count="3">
        <s v="Wealth Creation"/>
        <s v="Savings for Future"/>
        <s v="Returns"/>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2516938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3.678456712965" backgroundQuery="1" createdVersion="8" refreshedVersion="8" minRefreshableVersion="3" recordCount="0" supportSubquery="1" supportAdvancedDrill="1" xr:uid="{5055F752-557F-4C6D-AC76-77B13F7A7284}">
  <cacheSource type="external" connectionId="1"/>
  <cacheFields count="8">
    <cacheField name="[Ranking_By_Respondents].[Columns].[Columns]" caption="Columns" numFmtId="0" hierarchy="25" level="1">
      <sharedItems count="7">
        <s v="Debentures"/>
        <s v="Equity_Market"/>
        <s v="Fixed_Deposits"/>
        <s v="Gold"/>
        <s v="Government_Bonds"/>
        <s v="Mutual_Funds"/>
        <s v="PPF"/>
      </sharedItems>
    </cacheField>
    <cacheField name="[Measures].[Sum of 1]" caption="Sum of 1" numFmtId="0" hierarchy="36" level="32767"/>
    <cacheField name="[Measures].[Sum of 2]" caption="Sum of 2" numFmtId="0" hierarchy="37" level="32767"/>
    <cacheField name="[Measures].[Sum of 3]" caption="Sum of 3" numFmtId="0" hierarchy="38" level="32767"/>
    <cacheField name="[Measures].[Sum of 4]" caption="Sum of 4" numFmtId="0" hierarchy="39" level="32767"/>
    <cacheField name="[Measures].[Sum of 5]" caption="Sum of 5" numFmtId="0" hierarchy="40" level="32767"/>
    <cacheField name="[Measures].[Sum of 6]" caption="Sum of 6" numFmtId="0" hierarchy="41" level="32767"/>
    <cacheField name="[Measures].[Sum of 7]" caption="Sum of 7" numFmtId="0" hierarchy="42" level="32767"/>
  </cacheFields>
  <cacheHierarchies count="43">
    <cacheHierarchy uniqueName="[Finance_Data].[gender]" caption="gender" attribute="1" defaultMemberUniqueName="[Finance_Data].[gender].[All]" allUniqueName="[Finance_Data].[gender].[All]" dimensionUniqueName="[Finance_Data]" displayFolder="" count="0" memberValueDatatype="130" unbalanced="0"/>
    <cacheHierarchy uniqueName="[Finance_Data].[age]" caption="age" attribute="1" defaultMemberUniqueName="[Finance_Data].[age].[All]" allUniqueName="[Finance_Data].[age].[All]" dimensionUniqueName="[Finance_Data]" displayFolder="" count="0" memberValueDatatype="20" unbalanced="0"/>
    <cacheHierarchy uniqueName="[Finance_Data].[Age Category]" caption="Age Category" attribute="1" defaultMemberUniqueName="[Finance_Data].[Age Category].[All]" allUniqueName="[Finance_Data].[Age Category].[All]" dimensionUniqueName="[Finance_Data]" displayFolder="" count="0" memberValueDatatype="130" unbalanced="0"/>
    <cacheHierarchy uniqueName="[Finance_Data].[Investment_Avenues]" caption="Investment_Avenues" attribute="1" defaultMemberUniqueName="[Finance_Data].[Investment_Avenues].[All]" allUniqueName="[Finance_Data].[Investment_Avenues].[All]" dimensionUniqueName="[Finance_Data]" displayFolder="" count="0" memberValueDatatype="130" unbalanced="0"/>
    <cacheHierarchy uniqueName="[Finance_Data].[Mutual_Funds]" caption="Mutual_Funds" attribute="1" defaultMemberUniqueName="[Finance_Data].[Mutual_Funds].[All]" allUniqueName="[Finance_Data].[Mutual_Funds].[All]" dimensionUniqueName="[Finance_Data]" displayFolder="" count="0" memberValueDatatype="20" unbalanced="0"/>
    <cacheHierarchy uniqueName="[Finance_Data].[Equity_Market]" caption="Equity_Market" attribute="1" defaultMemberUniqueName="[Finance_Data].[Equity_Market].[All]" allUniqueName="[Finance_Data].[Equity_Market].[All]" dimensionUniqueName="[Finance_Data]" displayFolder="" count="0" memberValueDatatype="20" unbalanced="0"/>
    <cacheHierarchy uniqueName="[Finance_Data].[Debentures]" caption="Debentures" attribute="1" defaultMemberUniqueName="[Finance_Data].[Debentures].[All]" allUniqueName="[Finance_Data].[Debentures].[All]" dimensionUniqueName="[Finance_Data]" displayFolder="" count="0" memberValueDatatype="20" unbalanced="0"/>
    <cacheHierarchy uniqueName="[Finance_Data].[Government_Bonds]" caption="Government_Bonds" attribute="1" defaultMemberUniqueName="[Finance_Data].[Government_Bonds].[All]" allUniqueName="[Finance_Data].[Government_Bonds].[All]" dimensionUniqueName="[Finance_Data]" displayFolder="" count="0" memberValueDatatype="20" unbalanced="0"/>
    <cacheHierarchy uniqueName="[Finance_Data].[Fixed_Deposits]" caption="Fixed_Deposits" attribute="1" defaultMemberUniqueName="[Finance_Data].[Fixed_Deposits].[All]" allUniqueName="[Finance_Data].[Fixed_Deposits].[All]" dimensionUniqueName="[Finance_Data]" displayFolder="" count="0" memberValueDatatype="20" unbalanced="0"/>
    <cacheHierarchy uniqueName="[Finance_Data].[PPF]" caption="PPF" attribute="1" defaultMemberUniqueName="[Finance_Data].[PPF].[All]" allUniqueName="[Finance_Data].[PPF].[All]" dimensionUniqueName="[Finance_Data]" displayFolder="" count="0" memberValueDatatype="20" unbalanced="0"/>
    <cacheHierarchy uniqueName="[Finance_Data].[Gold]" caption="Gold" attribute="1" defaultMemberUniqueName="[Finance_Data].[Gold].[All]" allUniqueName="[Finance_Data].[Gold].[All]" dimensionUniqueName="[Finance_Data]" displayFolder="" count="0" memberValueDatatype="20" unbalanced="0"/>
    <cacheHierarchy uniqueName="[Finance_Data].[Stock_Market]" caption="Stock_Market" attribute="1" defaultMemberUniqueName="[Finance_Data].[Stock_Market].[All]" allUniqueName="[Finance_Data].[Stock_Market].[All]" dimensionUniqueName="[Finance_Data]" displayFolder="" count="0" memberValueDatatype="130" unbalanced="0"/>
    <cacheHierarchy uniqueName="[Finance_Data].[Factor]" caption="Factor" attribute="1" defaultMemberUniqueName="[Finance_Data].[Factor].[All]" allUniqueName="[Finance_Data].[Factor].[All]" dimensionUniqueName="[Finance_Data]" displayFolder="" count="0" memberValueDatatype="130" unbalanced="0"/>
    <cacheHierarchy uniqueName="[Finance_Data].[Objective]" caption="Objective" attribute="1" defaultMemberUniqueName="[Finance_Data].[Objective].[All]" allUniqueName="[Finance_Data].[Objective].[All]" dimensionUniqueName="[Finance_Data]" displayFolder="" count="0" memberValueDatatype="130" unbalanced="0"/>
    <cacheHierarchy uniqueName="[Finance_Data].[Purpose]" caption="Purpose" attribute="1" defaultMemberUniqueName="[Finance_Data].[Purpose].[All]" allUniqueName="[Finance_Data].[Purpose].[All]" dimensionUniqueName="[Finance_Data]" displayFolder="" count="0" memberValueDatatype="130" unbalanced="0"/>
    <cacheHierarchy uniqueName="[Finance_Data].[Duration]" caption="Duration" attribute="1" defaultMemberUniqueName="[Finance_Data].[Duration].[All]" allUniqueName="[Finance_Data].[Duration].[All]" dimensionUniqueName="[Finance_Data]" displayFolder="" count="0" memberValueDatatype="130" unbalanced="0"/>
    <cacheHierarchy uniqueName="[Finance_Data].[Invest_Monitor]" caption="Invest_Monitor" attribute="1" defaultMemberUniqueName="[Finance_Data].[Invest_Monitor].[All]" allUniqueName="[Finance_Data].[Invest_Monitor].[All]" dimensionUniqueName="[Finance_Data]" displayFolder="" count="0" memberValueDatatype="130" unbalanced="0"/>
    <cacheHierarchy uniqueName="[Finance_Data].[Expect]" caption="Expect" attribute="1" defaultMemberUniqueName="[Finance_Data].[Expect].[All]" allUniqueName="[Finance_Data].[Expect].[All]" dimensionUniqueName="[Finance_Data]" displayFolder="" count="0" memberValueDatatype="130" unbalanced="0"/>
    <cacheHierarchy uniqueName="[Finance_Data].[Avenue]" caption="Avenue" attribute="1" defaultMemberUniqueName="[Finance_Data].[Avenue].[All]" allUniqueName="[Finance_Data].[Avenue].[All]" dimensionUniqueName="[Finance_Data]" displayFolder="" count="0" memberValueDatatype="130" unbalanced="0"/>
    <cacheHierarchy uniqueName="[Finance_Data].[What are your savings objectives?]" caption="What are your savings objectives?" attribute="1" defaultMemberUniqueName="[Finance_Data].[What are your savings objectives?].[All]" allUniqueName="[Finance_Data].[What are your savings objectives?].[All]" dimensionUniqueName="[Finance_Data]" displayFolder="" count="0" memberValueDatatype="130" unbalanced="0"/>
    <cacheHierarchy uniqueName="[Finance_Data].[Reason_Equity]" caption="Reason_Equity" attribute="1" defaultMemberUniqueName="[Finance_Data].[Reason_Equity].[All]" allUniqueName="[Finance_Data].[Reason_Equity].[All]" dimensionUniqueName="[Finance_Data]" displayFolder="" count="0" memberValueDatatype="130" unbalanced="0"/>
    <cacheHierarchy uniqueName="[Finance_Data].[Reason_Mutual]" caption="Reason_Mutual" attribute="1" defaultMemberUniqueName="[Finance_Data].[Reason_Mutual].[All]" allUniqueName="[Finance_Data].[Reason_Mutual].[All]" dimensionUniqueName="[Finance_Data]" displayFolder="" count="0" memberValueDatatype="130" unbalanced="0"/>
    <cacheHierarchy uniqueName="[Finance_Data].[Reason_Bonds]" caption="Reason_Bonds" attribute="1" defaultMemberUniqueName="[Finance_Data].[Reason_Bonds].[All]" allUniqueName="[Finance_Data].[Reason_Bonds].[All]" dimensionUniqueName="[Finance_Data]" displayFolder="" count="0" memberValueDatatype="130" unbalanced="0"/>
    <cacheHierarchy uniqueName="[Finance_Data].[Reason_FD]" caption="Reason_FD" attribute="1" defaultMemberUniqueName="[Finance_Data].[Reason_FD].[All]" allUniqueName="[Finance_Data].[Reason_FD].[All]" dimensionUniqueName="[Finance_Data]" displayFolder="" count="0" memberValueDatatype="130" unbalanced="0"/>
    <cacheHierarchy uniqueName="[Finance_Data].[Source]" caption="Source" attribute="1" defaultMemberUniqueName="[Finance_Data].[Source].[All]" allUniqueName="[Finance_Data].[Source].[All]" dimensionUniqueName="[Finance_Data]" displayFolder="" count="0" memberValueDatatype="130" unbalanced="0"/>
    <cacheHierarchy uniqueName="[Ranking_By_Respondents].[Columns]" caption="Columns" attribute="1" defaultMemberUniqueName="[Ranking_By_Respondents].[Columns].[All]" allUniqueName="[Ranking_By_Respondents].[Columns].[All]" dimensionUniqueName="[Ranking_By_Respondents]" displayFolder="" count="2" memberValueDatatype="130" unbalanced="0">
      <fieldsUsage count="2">
        <fieldUsage x="-1"/>
        <fieldUsage x="0"/>
      </fieldsUsage>
    </cacheHierarchy>
    <cacheHierarchy uniqueName="[Ranking_By_Respondents].[1]" caption="1" attribute="1" defaultMemberUniqueName="[Ranking_By_Respondents].[1].[All]" allUniqueName="[Ranking_By_Respondents].[1].[All]" dimensionUniqueName="[Ranking_By_Respondents]" displayFolder="" count="0" memberValueDatatype="20" unbalanced="0"/>
    <cacheHierarchy uniqueName="[Ranking_By_Respondents].[2]" caption="2" attribute="1" defaultMemberUniqueName="[Ranking_By_Respondents].[2].[All]" allUniqueName="[Ranking_By_Respondents].[2].[All]" dimensionUniqueName="[Ranking_By_Respondents]" displayFolder="" count="0" memberValueDatatype="20" unbalanced="0"/>
    <cacheHierarchy uniqueName="[Ranking_By_Respondents].[3]" caption="3" attribute="1" defaultMemberUniqueName="[Ranking_By_Respondents].[3].[All]" allUniqueName="[Ranking_By_Respondents].[3].[All]" dimensionUniqueName="[Ranking_By_Respondents]" displayFolder="" count="0" memberValueDatatype="20" unbalanced="0"/>
    <cacheHierarchy uniqueName="[Ranking_By_Respondents].[4]" caption="4" attribute="1" defaultMemberUniqueName="[Ranking_By_Respondents].[4].[All]" allUniqueName="[Ranking_By_Respondents].[4].[All]" dimensionUniqueName="[Ranking_By_Respondents]" displayFolder="" count="0" memberValueDatatype="20" unbalanced="0"/>
    <cacheHierarchy uniqueName="[Ranking_By_Respondents].[5]" caption="5" attribute="1" defaultMemberUniqueName="[Ranking_By_Respondents].[5].[All]" allUniqueName="[Ranking_By_Respondents].[5].[All]" dimensionUniqueName="[Ranking_By_Respondents]" displayFolder="" count="0" memberValueDatatype="20" unbalanced="0"/>
    <cacheHierarchy uniqueName="[Ranking_By_Respondents].[6]" caption="6" attribute="1" defaultMemberUniqueName="[Ranking_By_Respondents].[6].[All]" allUniqueName="[Ranking_By_Respondents].[6].[All]" dimensionUniqueName="[Ranking_By_Respondents]" displayFolder="" count="0" memberValueDatatype="20" unbalanced="0"/>
    <cacheHierarchy uniqueName="[Ranking_By_Respondents].[7]" caption="7" attribute="1" defaultMemberUniqueName="[Ranking_By_Respondents].[7].[All]" allUniqueName="[Ranking_By_Respondents].[7].[All]" dimensionUniqueName="[Ranking_By_Respondents]" displayFolder="" count="0" memberValueDatatype="20" unbalanced="0"/>
    <cacheHierarchy uniqueName="[Measures].[__XL_Count Finance_Data]" caption="__XL_Count Finance_Data" measure="1" displayFolder="" measureGroup="Finance_Data" count="0" hidden="1"/>
    <cacheHierarchy uniqueName="[Measures].[__XL_Count Ranking_By_Respondents]" caption="__XL_Count Ranking_By_Respondents" measure="1" displayFolder="" measureGroup="Ranking_By_Respondents" count="0" hidden="1"/>
    <cacheHierarchy uniqueName="[Measures].[__No measures defined]" caption="__No measures defined" measure="1" displayFolder="" count="0" hidden="1"/>
    <cacheHierarchy uniqueName="[Measures].[Sum of 1]" caption="Sum of 1" measure="1" displayFolder="" measureGroup="Ranking_By_Respondent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2]" caption="Sum of 2" measure="1" displayFolder="" measureGroup="Ranking_By_Respondent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3]" caption="Sum of 3" measure="1" displayFolder="" measureGroup="Ranking_By_Respondent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4]" caption="Sum of 4" measure="1" displayFolder="" measureGroup="Ranking_By_Respondent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5]" caption="Sum of 5" measure="1" displayFolder="" measureGroup="Ranking_By_Respondents" count="0" oneField="1" hidden="1">
      <fieldsUsage count="1">
        <fieldUsage x="5"/>
      </fieldsUsage>
      <extLst>
        <ext xmlns:x15="http://schemas.microsoft.com/office/spreadsheetml/2010/11/main" uri="{B97F6D7D-B522-45F9-BDA1-12C45D357490}">
          <x15:cacheHierarchy aggregatedColumn="30"/>
        </ext>
      </extLst>
    </cacheHierarchy>
    <cacheHierarchy uniqueName="[Measures].[Sum of 6]" caption="Sum of 6" measure="1" displayFolder="" measureGroup="Ranking_By_Respondents" count="0" oneField="1" hidden="1">
      <fieldsUsage count="1">
        <fieldUsage x="6"/>
      </fieldsUsage>
      <extLst>
        <ext xmlns:x15="http://schemas.microsoft.com/office/spreadsheetml/2010/11/main" uri="{B97F6D7D-B522-45F9-BDA1-12C45D357490}">
          <x15:cacheHierarchy aggregatedColumn="31"/>
        </ext>
      </extLst>
    </cacheHierarchy>
    <cacheHierarchy uniqueName="[Measures].[Sum of 7]" caption="Sum of 7" measure="1" displayFolder="" measureGroup="Ranking_By_Respondents" count="0" oneField="1" hidden="1">
      <fieldsUsage count="1">
        <fieldUsage x="7"/>
      </fieldsUsage>
      <extLst>
        <ext xmlns:x15="http://schemas.microsoft.com/office/spreadsheetml/2010/11/main" uri="{B97F6D7D-B522-45F9-BDA1-12C45D357490}">
          <x15:cacheHierarchy aggregatedColumn="32"/>
        </ext>
      </extLst>
    </cacheHierarchy>
  </cacheHierarchies>
  <kpis count="0"/>
  <dimensions count="3">
    <dimension name="Finance_Data" uniqueName="[Finance_Data]" caption="Finance_Data"/>
    <dimension measure="1" name="Measures" uniqueName="[Measures]" caption="Measures"/>
    <dimension name="Ranking_By_Respondents" uniqueName="[Ranking_By_Respondents]" caption="Ranking_By_Respondents"/>
  </dimensions>
  <measureGroups count="2">
    <measureGroup name="Finance_Data" caption="Finance_Data"/>
    <measureGroup name="Ranking_By_Respondents" caption="Ranking_By_Respondent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x v="0"/>
    <x v="0"/>
    <x v="0"/>
    <x v="0"/>
    <x v="0"/>
    <x v="0"/>
    <x v="0"/>
    <n v="4"/>
    <x v="0"/>
    <x v="0"/>
    <x v="0"/>
    <x v="0"/>
    <x v="0"/>
    <s v="Monthly"/>
    <x v="0"/>
    <x v="0"/>
    <x v="0"/>
    <x v="0"/>
    <x v="0"/>
    <x v="0"/>
    <x v="0"/>
    <x v="0"/>
  </r>
  <r>
    <x v="0"/>
    <n v="23"/>
    <x v="1"/>
    <x v="0"/>
    <x v="1"/>
    <x v="1"/>
    <x v="1"/>
    <x v="1"/>
    <x v="1"/>
    <x v="0"/>
    <n v="7"/>
    <x v="1"/>
    <x v="1"/>
    <x v="0"/>
    <x v="0"/>
    <x v="1"/>
    <s v="Weekly"/>
    <x v="0"/>
    <x v="0"/>
    <x v="1"/>
    <x v="1"/>
    <x v="0"/>
    <x v="0"/>
    <x v="1"/>
    <x v="1"/>
  </r>
  <r>
    <x v="1"/>
    <n v="30"/>
    <x v="2"/>
    <x v="0"/>
    <x v="2"/>
    <x v="2"/>
    <x v="2"/>
    <x v="2"/>
    <x v="1"/>
    <x v="1"/>
    <n v="7"/>
    <x v="0"/>
    <x v="0"/>
    <x v="0"/>
    <x v="0"/>
    <x v="2"/>
    <s v="Daily"/>
    <x v="0"/>
    <x v="1"/>
    <x v="0"/>
    <x v="0"/>
    <x v="1"/>
    <x v="1"/>
    <x v="0"/>
    <x v="2"/>
  </r>
  <r>
    <x v="1"/>
    <n v="22"/>
    <x v="1"/>
    <x v="0"/>
    <x v="3"/>
    <x v="3"/>
    <x v="3"/>
    <x v="3"/>
    <x v="2"/>
    <x v="2"/>
    <n v="5"/>
    <x v="0"/>
    <x v="0"/>
    <x v="1"/>
    <x v="0"/>
    <x v="3"/>
    <s v="Daily"/>
    <x v="1"/>
    <x v="1"/>
    <x v="0"/>
    <x v="1"/>
    <x v="2"/>
    <x v="2"/>
    <x v="1"/>
    <x v="3"/>
  </r>
  <r>
    <x v="0"/>
    <n v="24"/>
    <x v="1"/>
    <x v="1"/>
    <x v="3"/>
    <x v="3"/>
    <x v="3"/>
    <x v="4"/>
    <x v="3"/>
    <x v="3"/>
    <n v="7"/>
    <x v="1"/>
    <x v="0"/>
    <x v="1"/>
    <x v="0"/>
    <x v="3"/>
    <s v="Daily"/>
    <x v="0"/>
    <x v="1"/>
    <x v="0"/>
    <x v="0"/>
    <x v="0"/>
    <x v="0"/>
    <x v="2"/>
    <x v="3"/>
  </r>
  <r>
    <x v="0"/>
    <n v="24"/>
    <x v="1"/>
    <x v="1"/>
    <x v="4"/>
    <x v="4"/>
    <x v="2"/>
    <x v="4"/>
    <x v="4"/>
    <x v="1"/>
    <n v="2"/>
    <x v="1"/>
    <x v="2"/>
    <x v="0"/>
    <x v="0"/>
    <x v="0"/>
    <s v="Daily"/>
    <x v="2"/>
    <x v="0"/>
    <x v="0"/>
    <x v="2"/>
    <x v="2"/>
    <x v="0"/>
    <x v="2"/>
    <x v="3"/>
  </r>
  <r>
    <x v="0"/>
    <n v="27"/>
    <x v="2"/>
    <x v="0"/>
    <x v="2"/>
    <x v="2"/>
    <x v="2"/>
    <x v="2"/>
    <x v="1"/>
    <x v="1"/>
    <n v="7"/>
    <x v="0"/>
    <x v="0"/>
    <x v="0"/>
    <x v="0"/>
    <x v="2"/>
    <s v="Monthly"/>
    <x v="0"/>
    <x v="1"/>
    <x v="0"/>
    <x v="0"/>
    <x v="0"/>
    <x v="1"/>
    <x v="1"/>
    <x v="1"/>
  </r>
  <r>
    <x v="1"/>
    <n v="21"/>
    <x v="1"/>
    <x v="0"/>
    <x v="3"/>
    <x v="1"/>
    <x v="4"/>
    <x v="5"/>
    <x v="2"/>
    <x v="1"/>
    <n v="5"/>
    <x v="0"/>
    <x v="2"/>
    <x v="0"/>
    <x v="0"/>
    <x v="2"/>
    <s v="Monthly"/>
    <x v="0"/>
    <x v="0"/>
    <x v="0"/>
    <x v="0"/>
    <x v="0"/>
    <x v="1"/>
    <x v="2"/>
    <x v="0"/>
  </r>
  <r>
    <x v="1"/>
    <n v="35"/>
    <x v="0"/>
    <x v="0"/>
    <x v="3"/>
    <x v="5"/>
    <x v="4"/>
    <x v="6"/>
    <x v="4"/>
    <x v="1"/>
    <n v="6"/>
    <x v="0"/>
    <x v="0"/>
    <x v="2"/>
    <x v="1"/>
    <x v="0"/>
    <s v="Weekly"/>
    <x v="0"/>
    <x v="1"/>
    <x v="0"/>
    <x v="0"/>
    <x v="2"/>
    <x v="0"/>
    <x v="0"/>
    <x v="2"/>
  </r>
  <r>
    <x v="1"/>
    <n v="31"/>
    <x v="0"/>
    <x v="0"/>
    <x v="0"/>
    <x v="1"/>
    <x v="4"/>
    <x v="5"/>
    <x v="1"/>
    <x v="4"/>
    <n v="6"/>
    <x v="0"/>
    <x v="0"/>
    <x v="0"/>
    <x v="0"/>
    <x v="2"/>
    <s v="Monthly"/>
    <x v="2"/>
    <x v="2"/>
    <x v="0"/>
    <x v="0"/>
    <x v="2"/>
    <x v="1"/>
    <x v="0"/>
    <x v="0"/>
  </r>
  <r>
    <x v="0"/>
    <n v="35"/>
    <x v="0"/>
    <x v="0"/>
    <x v="3"/>
    <x v="5"/>
    <x v="4"/>
    <x v="6"/>
    <x v="4"/>
    <x v="1"/>
    <n v="6"/>
    <x v="0"/>
    <x v="2"/>
    <x v="2"/>
    <x v="1"/>
    <x v="2"/>
    <s v="Monthly"/>
    <x v="0"/>
    <x v="0"/>
    <x v="0"/>
    <x v="0"/>
    <x v="0"/>
    <x v="1"/>
    <x v="2"/>
    <x v="1"/>
  </r>
  <r>
    <x v="1"/>
    <n v="29"/>
    <x v="2"/>
    <x v="0"/>
    <x v="3"/>
    <x v="4"/>
    <x v="4"/>
    <x v="4"/>
    <x v="4"/>
    <x v="1"/>
    <n v="4"/>
    <x v="0"/>
    <x v="2"/>
    <x v="0"/>
    <x v="0"/>
    <x v="0"/>
    <s v="Monthly"/>
    <x v="0"/>
    <x v="0"/>
    <x v="0"/>
    <x v="0"/>
    <x v="2"/>
    <x v="1"/>
    <x v="0"/>
    <x v="1"/>
  </r>
  <r>
    <x v="0"/>
    <n v="21"/>
    <x v="1"/>
    <x v="1"/>
    <x v="0"/>
    <x v="0"/>
    <x v="3"/>
    <x v="5"/>
    <x v="1"/>
    <x v="0"/>
    <n v="7"/>
    <x v="1"/>
    <x v="0"/>
    <x v="0"/>
    <x v="1"/>
    <x v="0"/>
    <s v="Weekly"/>
    <x v="0"/>
    <x v="0"/>
    <x v="2"/>
    <x v="1"/>
    <x v="0"/>
    <x v="0"/>
    <x v="2"/>
    <x v="3"/>
  </r>
  <r>
    <x v="0"/>
    <n v="28"/>
    <x v="2"/>
    <x v="0"/>
    <x v="3"/>
    <x v="1"/>
    <x v="4"/>
    <x v="5"/>
    <x v="1"/>
    <x v="1"/>
    <n v="6"/>
    <x v="0"/>
    <x v="0"/>
    <x v="0"/>
    <x v="0"/>
    <x v="0"/>
    <s v="Monthly"/>
    <x v="0"/>
    <x v="0"/>
    <x v="0"/>
    <x v="0"/>
    <x v="2"/>
    <x v="1"/>
    <x v="2"/>
    <x v="0"/>
  </r>
  <r>
    <x v="0"/>
    <n v="25"/>
    <x v="2"/>
    <x v="0"/>
    <x v="3"/>
    <x v="1"/>
    <x v="4"/>
    <x v="6"/>
    <x v="3"/>
    <x v="1"/>
    <n v="6"/>
    <x v="0"/>
    <x v="0"/>
    <x v="0"/>
    <x v="0"/>
    <x v="0"/>
    <s v="Monthly"/>
    <x v="0"/>
    <x v="2"/>
    <x v="1"/>
    <x v="1"/>
    <x v="0"/>
    <x v="1"/>
    <x v="2"/>
    <x v="1"/>
  </r>
  <r>
    <x v="1"/>
    <n v="27"/>
    <x v="2"/>
    <x v="0"/>
    <x v="3"/>
    <x v="1"/>
    <x v="4"/>
    <x v="6"/>
    <x v="3"/>
    <x v="1"/>
    <n v="6"/>
    <x v="0"/>
    <x v="0"/>
    <x v="0"/>
    <x v="0"/>
    <x v="0"/>
    <s v="Monthly"/>
    <x v="0"/>
    <x v="0"/>
    <x v="1"/>
    <x v="0"/>
    <x v="2"/>
    <x v="1"/>
    <x v="2"/>
    <x v="0"/>
  </r>
  <r>
    <x v="0"/>
    <n v="28"/>
    <x v="2"/>
    <x v="0"/>
    <x v="2"/>
    <x v="0"/>
    <x v="4"/>
    <x v="6"/>
    <x v="3"/>
    <x v="1"/>
    <n v="6"/>
    <x v="0"/>
    <x v="2"/>
    <x v="2"/>
    <x v="0"/>
    <x v="0"/>
    <s v="Monthly"/>
    <x v="0"/>
    <x v="2"/>
    <x v="1"/>
    <x v="0"/>
    <x v="2"/>
    <x v="1"/>
    <x v="2"/>
    <x v="2"/>
  </r>
  <r>
    <x v="1"/>
    <n v="27"/>
    <x v="2"/>
    <x v="0"/>
    <x v="2"/>
    <x v="0"/>
    <x v="4"/>
    <x v="5"/>
    <x v="1"/>
    <x v="1"/>
    <n v="6"/>
    <x v="0"/>
    <x v="0"/>
    <x v="0"/>
    <x v="0"/>
    <x v="0"/>
    <s v="Monthly"/>
    <x v="0"/>
    <x v="0"/>
    <x v="0"/>
    <x v="0"/>
    <x v="0"/>
    <x v="1"/>
    <x v="2"/>
    <x v="1"/>
  </r>
  <r>
    <x v="1"/>
    <n v="29"/>
    <x v="2"/>
    <x v="0"/>
    <x v="2"/>
    <x v="0"/>
    <x v="4"/>
    <x v="5"/>
    <x v="1"/>
    <x v="1"/>
    <n v="6"/>
    <x v="0"/>
    <x v="2"/>
    <x v="0"/>
    <x v="0"/>
    <x v="0"/>
    <s v="Monthly"/>
    <x v="0"/>
    <x v="0"/>
    <x v="0"/>
    <x v="0"/>
    <x v="0"/>
    <x v="1"/>
    <x v="2"/>
    <x v="0"/>
  </r>
  <r>
    <x v="1"/>
    <n v="26"/>
    <x v="2"/>
    <x v="0"/>
    <x v="2"/>
    <x v="5"/>
    <x v="5"/>
    <x v="6"/>
    <x v="5"/>
    <x v="4"/>
    <n v="7"/>
    <x v="0"/>
    <x v="2"/>
    <x v="0"/>
    <x v="0"/>
    <x v="2"/>
    <s v="Monthly"/>
    <x v="0"/>
    <x v="2"/>
    <x v="1"/>
    <x v="0"/>
    <x v="2"/>
    <x v="1"/>
    <x v="2"/>
    <x v="0"/>
  </r>
  <r>
    <x v="1"/>
    <n v="29"/>
    <x v="2"/>
    <x v="0"/>
    <x v="3"/>
    <x v="5"/>
    <x v="4"/>
    <x v="6"/>
    <x v="4"/>
    <x v="1"/>
    <n v="6"/>
    <x v="0"/>
    <x v="0"/>
    <x v="2"/>
    <x v="0"/>
    <x v="2"/>
    <s v="Weekly"/>
    <x v="0"/>
    <x v="0"/>
    <x v="0"/>
    <x v="0"/>
    <x v="0"/>
    <x v="1"/>
    <x v="0"/>
    <x v="1"/>
  </r>
  <r>
    <x v="0"/>
    <n v="24"/>
    <x v="1"/>
    <x v="0"/>
    <x v="3"/>
    <x v="5"/>
    <x v="0"/>
    <x v="4"/>
    <x v="4"/>
    <x v="1"/>
    <n v="7"/>
    <x v="0"/>
    <x v="2"/>
    <x v="0"/>
    <x v="0"/>
    <x v="2"/>
    <s v="Monthly"/>
    <x v="0"/>
    <x v="1"/>
    <x v="1"/>
    <x v="0"/>
    <x v="0"/>
    <x v="1"/>
    <x v="2"/>
    <x v="0"/>
  </r>
  <r>
    <x v="1"/>
    <n v="27"/>
    <x v="2"/>
    <x v="0"/>
    <x v="2"/>
    <x v="5"/>
    <x v="5"/>
    <x v="6"/>
    <x v="6"/>
    <x v="1"/>
    <n v="7"/>
    <x v="0"/>
    <x v="0"/>
    <x v="0"/>
    <x v="0"/>
    <x v="2"/>
    <s v="Monthly"/>
    <x v="0"/>
    <x v="0"/>
    <x v="0"/>
    <x v="0"/>
    <x v="0"/>
    <x v="1"/>
    <x v="2"/>
    <x v="1"/>
  </r>
  <r>
    <x v="1"/>
    <n v="25"/>
    <x v="2"/>
    <x v="0"/>
    <x v="3"/>
    <x v="5"/>
    <x v="5"/>
    <x v="6"/>
    <x v="4"/>
    <x v="1"/>
    <n v="7"/>
    <x v="0"/>
    <x v="2"/>
    <x v="2"/>
    <x v="1"/>
    <x v="2"/>
    <s v="Weekly"/>
    <x v="0"/>
    <x v="3"/>
    <x v="1"/>
    <x v="2"/>
    <x v="0"/>
    <x v="1"/>
    <x v="2"/>
    <x v="1"/>
  </r>
  <r>
    <x v="0"/>
    <n v="26"/>
    <x v="2"/>
    <x v="0"/>
    <x v="3"/>
    <x v="1"/>
    <x v="4"/>
    <x v="6"/>
    <x v="3"/>
    <x v="1"/>
    <n v="6"/>
    <x v="0"/>
    <x v="0"/>
    <x v="0"/>
    <x v="0"/>
    <x v="2"/>
    <s v="Monthly"/>
    <x v="2"/>
    <x v="3"/>
    <x v="0"/>
    <x v="0"/>
    <x v="0"/>
    <x v="1"/>
    <x v="2"/>
    <x v="0"/>
  </r>
  <r>
    <x v="0"/>
    <n v="32"/>
    <x v="0"/>
    <x v="0"/>
    <x v="2"/>
    <x v="5"/>
    <x v="4"/>
    <x v="6"/>
    <x v="5"/>
    <x v="4"/>
    <n v="6"/>
    <x v="0"/>
    <x v="2"/>
    <x v="2"/>
    <x v="0"/>
    <x v="2"/>
    <s v="Monthly"/>
    <x v="0"/>
    <x v="0"/>
    <x v="0"/>
    <x v="0"/>
    <x v="0"/>
    <x v="1"/>
    <x v="0"/>
    <x v="1"/>
  </r>
  <r>
    <x v="1"/>
    <n v="26"/>
    <x v="2"/>
    <x v="0"/>
    <x v="2"/>
    <x v="5"/>
    <x v="5"/>
    <x v="6"/>
    <x v="5"/>
    <x v="4"/>
    <n v="7"/>
    <x v="0"/>
    <x v="0"/>
    <x v="0"/>
    <x v="0"/>
    <x v="2"/>
    <s v="Monthly"/>
    <x v="0"/>
    <x v="0"/>
    <x v="0"/>
    <x v="1"/>
    <x v="2"/>
    <x v="1"/>
    <x v="0"/>
    <x v="1"/>
  </r>
  <r>
    <x v="1"/>
    <n v="31"/>
    <x v="0"/>
    <x v="0"/>
    <x v="3"/>
    <x v="1"/>
    <x v="4"/>
    <x v="4"/>
    <x v="3"/>
    <x v="1"/>
    <n v="5"/>
    <x v="0"/>
    <x v="2"/>
    <x v="2"/>
    <x v="1"/>
    <x v="0"/>
    <s v="Monthly"/>
    <x v="0"/>
    <x v="2"/>
    <x v="1"/>
    <x v="0"/>
    <x v="2"/>
    <x v="0"/>
    <x v="0"/>
    <x v="2"/>
  </r>
  <r>
    <x v="1"/>
    <n v="29"/>
    <x v="2"/>
    <x v="0"/>
    <x v="3"/>
    <x v="1"/>
    <x v="5"/>
    <x v="6"/>
    <x v="5"/>
    <x v="2"/>
    <n v="7"/>
    <x v="0"/>
    <x v="0"/>
    <x v="0"/>
    <x v="0"/>
    <x v="0"/>
    <s v="Monthly"/>
    <x v="0"/>
    <x v="1"/>
    <x v="0"/>
    <x v="0"/>
    <x v="0"/>
    <x v="1"/>
    <x v="2"/>
    <x v="2"/>
  </r>
  <r>
    <x v="0"/>
    <n v="34"/>
    <x v="0"/>
    <x v="0"/>
    <x v="5"/>
    <x v="5"/>
    <x v="3"/>
    <x v="2"/>
    <x v="0"/>
    <x v="1"/>
    <n v="6"/>
    <x v="0"/>
    <x v="0"/>
    <x v="1"/>
    <x v="2"/>
    <x v="2"/>
    <s v="Monthly"/>
    <x v="1"/>
    <x v="0"/>
    <x v="0"/>
    <x v="0"/>
    <x v="1"/>
    <x v="0"/>
    <x v="0"/>
    <x v="0"/>
  </r>
  <r>
    <x v="1"/>
    <n v="27"/>
    <x v="2"/>
    <x v="0"/>
    <x v="1"/>
    <x v="4"/>
    <x v="6"/>
    <x v="2"/>
    <x v="0"/>
    <x v="5"/>
    <n v="6"/>
    <x v="1"/>
    <x v="0"/>
    <x v="2"/>
    <x v="0"/>
    <x v="0"/>
    <s v="Monthly"/>
    <x v="1"/>
    <x v="0"/>
    <x v="2"/>
    <x v="0"/>
    <x v="1"/>
    <x v="0"/>
    <x v="0"/>
    <x v="2"/>
  </r>
  <r>
    <x v="0"/>
    <n v="31"/>
    <x v="0"/>
    <x v="0"/>
    <x v="3"/>
    <x v="5"/>
    <x v="4"/>
    <x v="4"/>
    <x v="4"/>
    <x v="1"/>
    <n v="5"/>
    <x v="0"/>
    <x v="0"/>
    <x v="0"/>
    <x v="0"/>
    <x v="2"/>
    <s v="Monthly"/>
    <x v="0"/>
    <x v="2"/>
    <x v="0"/>
    <x v="0"/>
    <x v="0"/>
    <x v="1"/>
    <x v="0"/>
    <x v="1"/>
  </r>
  <r>
    <x v="1"/>
    <n v="27"/>
    <x v="2"/>
    <x v="0"/>
    <x v="3"/>
    <x v="5"/>
    <x v="4"/>
    <x v="6"/>
    <x v="5"/>
    <x v="5"/>
    <n v="6"/>
    <x v="0"/>
    <x v="0"/>
    <x v="0"/>
    <x v="0"/>
    <x v="2"/>
    <s v="Monthly"/>
    <x v="2"/>
    <x v="1"/>
    <x v="1"/>
    <x v="0"/>
    <x v="2"/>
    <x v="1"/>
    <x v="0"/>
    <x v="0"/>
  </r>
  <r>
    <x v="1"/>
    <n v="26"/>
    <x v="2"/>
    <x v="0"/>
    <x v="3"/>
    <x v="1"/>
    <x v="5"/>
    <x v="5"/>
    <x v="5"/>
    <x v="3"/>
    <n v="7"/>
    <x v="0"/>
    <x v="0"/>
    <x v="0"/>
    <x v="2"/>
    <x v="0"/>
    <s v="Monthly"/>
    <x v="0"/>
    <x v="2"/>
    <x v="2"/>
    <x v="1"/>
    <x v="0"/>
    <x v="0"/>
    <x v="2"/>
    <x v="0"/>
  </r>
  <r>
    <x v="1"/>
    <n v="27"/>
    <x v="2"/>
    <x v="0"/>
    <x v="3"/>
    <x v="1"/>
    <x v="5"/>
    <x v="6"/>
    <x v="3"/>
    <x v="1"/>
    <n v="7"/>
    <x v="0"/>
    <x v="0"/>
    <x v="0"/>
    <x v="0"/>
    <x v="0"/>
    <s v="Weekly"/>
    <x v="0"/>
    <x v="0"/>
    <x v="1"/>
    <x v="0"/>
    <x v="0"/>
    <x v="0"/>
    <x v="0"/>
    <x v="1"/>
  </r>
  <r>
    <x v="1"/>
    <n v="30"/>
    <x v="2"/>
    <x v="0"/>
    <x v="0"/>
    <x v="5"/>
    <x v="5"/>
    <x v="6"/>
    <x v="4"/>
    <x v="4"/>
    <n v="7"/>
    <x v="0"/>
    <x v="2"/>
    <x v="2"/>
    <x v="0"/>
    <x v="2"/>
    <s v="Monthly"/>
    <x v="0"/>
    <x v="2"/>
    <x v="1"/>
    <x v="0"/>
    <x v="0"/>
    <x v="1"/>
    <x v="0"/>
    <x v="1"/>
  </r>
  <r>
    <x v="1"/>
    <n v="30"/>
    <x v="2"/>
    <x v="0"/>
    <x v="3"/>
    <x v="5"/>
    <x v="4"/>
    <x v="6"/>
    <x v="5"/>
    <x v="5"/>
    <n v="6"/>
    <x v="0"/>
    <x v="0"/>
    <x v="0"/>
    <x v="0"/>
    <x v="0"/>
    <s v="Monthly"/>
    <x v="0"/>
    <x v="1"/>
    <x v="0"/>
    <x v="0"/>
    <x v="0"/>
    <x v="1"/>
    <x v="2"/>
    <x v="0"/>
  </r>
  <r>
    <x v="1"/>
    <n v="25"/>
    <x v="2"/>
    <x v="0"/>
    <x v="5"/>
    <x v="5"/>
    <x v="4"/>
    <x v="4"/>
    <x v="5"/>
    <x v="4"/>
    <n v="3"/>
    <x v="0"/>
    <x v="2"/>
    <x v="2"/>
    <x v="1"/>
    <x v="2"/>
    <s v="Monthly"/>
    <x v="2"/>
    <x v="3"/>
    <x v="1"/>
    <x v="0"/>
    <x v="0"/>
    <x v="0"/>
    <x v="0"/>
    <x v="1"/>
  </r>
  <r>
    <x v="1"/>
    <n v="31"/>
    <x v="0"/>
    <x v="0"/>
    <x v="3"/>
    <x v="5"/>
    <x v="4"/>
    <x v="6"/>
    <x v="4"/>
    <x v="1"/>
    <n v="6"/>
    <x v="0"/>
    <x v="2"/>
    <x v="2"/>
    <x v="0"/>
    <x v="0"/>
    <s v="Weekly"/>
    <x v="0"/>
    <x v="1"/>
    <x v="1"/>
    <x v="1"/>
    <x v="2"/>
    <x v="1"/>
    <x v="0"/>
    <x v="0"/>
  </r>
  <r>
    <x v="1"/>
    <n v="29"/>
    <x v="2"/>
    <x v="0"/>
    <x v="1"/>
    <x v="1"/>
    <x v="0"/>
    <x v="3"/>
    <x v="6"/>
    <x v="1"/>
    <n v="6"/>
    <x v="0"/>
    <x v="0"/>
    <x v="0"/>
    <x v="0"/>
    <x v="2"/>
    <s v="Monthly"/>
    <x v="0"/>
    <x v="2"/>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ABA67-CE75-4145-A3BA-0CB8A8A2FC52}"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H3" firstHeaderRow="0" firstDataRow="1" firstDataCol="0"/>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Average of Mutual_Funds" fld="4" subtotal="average" baseField="0" baseItem="0"/>
    <dataField name="Average of Equity_Market" fld="5" subtotal="average" baseField="0" baseItem="0"/>
    <dataField name="Average of Debentures" fld="6" subtotal="average" baseField="0" baseItem="0"/>
    <dataField name="Average of Govt_Bonds" fld="7" subtotal="average" baseField="0" baseItem="0"/>
    <dataField name="Average of Fixed_Deposits" fld="8" subtotal="average" baseField="0" baseItem="0"/>
    <dataField name="Average of PPF" fld="9" subtotal="average" baseField="0" baseItem="0"/>
    <dataField name="Average of Gold" fld="10" subtotal="average" baseField="0" baseItem="0"/>
  </dataFields>
  <formats count="1">
    <format dxfId="4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983EB-0D6F-4E79-AADB-A6FD79843F83}" name="Average Ag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5">
    <pivotField showAll="0">
      <items count="3">
        <item x="0"/>
        <item x="1"/>
        <item t="default"/>
      </items>
    </pivotField>
    <pivotField dataField="1"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Items count="1">
    <i/>
  </rowItems>
  <colItems count="1">
    <i/>
  </colItems>
  <dataFields count="1">
    <dataField name="Average Age" fld="1" subtotal="average" baseField="0" baseItem="0" numFmtId="1"/>
  </dataFields>
  <formats count="1">
    <format dxfId="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7B79C1-3388-48CE-A6B1-8DE74AD02EDB}" name="Investment_Avenues %"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E2" firstHeaderRow="1" firstDataRow="1" firstDataCol="0"/>
  <pivotFields count="25">
    <pivotField showAll="0">
      <items count="3">
        <item x="0"/>
        <item x="1"/>
        <item t="default"/>
      </items>
    </pivotField>
    <pivotField showAll="0"/>
    <pivotField showAll="0">
      <items count="4">
        <item x="2"/>
        <item x="0"/>
        <item x="1"/>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Items count="1">
    <i/>
  </rowItems>
  <colItems count="1">
    <i/>
  </colItems>
  <dataFields count="1">
    <dataField name="Investment_Avenues %" fld="3" subtotal="count" baseField="0" baseItem="1048829"/>
  </dataFields>
  <formats count="2">
    <format dxfId="43">
      <pivotArea outline="0" collapsedLevelsAreSubtotals="1" fieldPosition="0"/>
    </format>
    <format dxfId="44">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E82A83-D883-4BD3-832A-C0BC75BD1A8E}" name=" Avenue Selection By Age Group" cacheId="4"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1">
  <location ref="A8:E13" firstHeaderRow="1" firstDataRow="2" firstDataCol="1"/>
  <pivotFields count="25">
    <pivotField showAll="0">
      <items count="3">
        <item x="0"/>
        <item x="1"/>
        <item t="default"/>
      </items>
    </pivotField>
    <pivotField showAll="0"/>
    <pivotField axis="axisRow"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Col" dataField="1" showAll="0">
      <items count="5">
        <item x="1"/>
        <item x="2"/>
        <item x="0"/>
        <item x="3"/>
        <item t="default"/>
      </items>
    </pivotField>
    <pivotField showAll="0"/>
    <pivotField showAll="0"/>
    <pivotField showAll="0"/>
    <pivotField showAll="0"/>
    <pivotField showAll="0"/>
    <pivotField showAll="0"/>
  </pivotFields>
  <rowFields count="1">
    <field x="2"/>
  </rowFields>
  <rowItems count="4">
    <i>
      <x/>
    </i>
    <i>
      <x v="1"/>
    </i>
    <i>
      <x v="2"/>
    </i>
    <i t="grand">
      <x/>
    </i>
  </rowItems>
  <colFields count="1">
    <field x="18"/>
  </colFields>
  <colItems count="4">
    <i>
      <x/>
    </i>
    <i>
      <x v="1"/>
    </i>
    <i>
      <x v="2"/>
    </i>
    <i>
      <x v="3"/>
    </i>
  </colItems>
  <dataFields count="1">
    <dataField name="Count of Avenue2" fld="18" subtotal="count" baseField="17" baseItem="0"/>
  </dataFields>
  <formats count="3">
    <format dxfId="8">
      <pivotArea outline="0" collapsedLevelsAreSubtotals="1" fieldPosition="0"/>
    </format>
    <format dxfId="9">
      <pivotArea outline="0" collapsedLevelsAreSubtotals="1" fieldPosition="0">
        <references count="1">
          <reference field="4294967294" count="1" selected="0">
            <x v="0"/>
          </reference>
        </references>
      </pivotArea>
    </format>
    <format dxfId="10">
      <pivotArea outline="0" fieldPosition="0">
        <references count="1">
          <reference field="4294967294" count="1">
            <x v="0"/>
          </reference>
        </references>
      </pivotArea>
    </format>
  </formats>
  <conditionalFormats count="1">
    <conditionalFormat priority="15">
      <pivotAreas count="1">
        <pivotArea type="data" collapsedLevelsAreSubtotals="1" fieldPosition="0">
          <references count="2">
            <reference field="4294967294" count="1" selected="0">
              <x v="0"/>
            </reference>
            <reference field="2" count="3">
              <x v="0"/>
              <x v="1"/>
              <x v="2"/>
            </reference>
          </references>
        </pivotArea>
      </pivotAreas>
    </conditionalFormat>
  </conditionalFormats>
  <chartFormats count="15">
    <chartFormat chart="9" format="16" series="1">
      <pivotArea type="data" outline="0" fieldPosition="0">
        <references count="2">
          <reference field="4294967294" count="1" selected="0">
            <x v="0"/>
          </reference>
          <reference field="18" count="1" selected="0">
            <x v="0"/>
          </reference>
        </references>
      </pivotArea>
    </chartFormat>
    <chartFormat chart="9" format="17" series="1">
      <pivotArea type="data" outline="0" fieldPosition="0">
        <references count="2">
          <reference field="4294967294" count="1" selected="0">
            <x v="0"/>
          </reference>
          <reference field="18" count="1" selected="0">
            <x v="1"/>
          </reference>
        </references>
      </pivotArea>
    </chartFormat>
    <chartFormat chart="9" format="18" series="1">
      <pivotArea type="data" outline="0" fieldPosition="0">
        <references count="2">
          <reference field="4294967294" count="1" selected="0">
            <x v="0"/>
          </reference>
          <reference field="18" count="1" selected="0">
            <x v="2"/>
          </reference>
        </references>
      </pivotArea>
    </chartFormat>
    <chartFormat chart="9" format="19" series="1">
      <pivotArea type="data" outline="0" fieldPosition="0">
        <references count="2">
          <reference field="4294967294" count="1" selected="0">
            <x v="0"/>
          </reference>
          <reference field="18" count="1" selected="0">
            <x v="3"/>
          </reference>
        </references>
      </pivotArea>
    </chartFormat>
    <chartFormat chart="9" format="20" series="1">
      <pivotArea type="data" outline="0" fieldPosition="0">
        <references count="3">
          <reference field="4294967294" count="1" selected="0">
            <x v="0"/>
          </reference>
          <reference field="2" count="1" selected="0">
            <x v="1"/>
          </reference>
          <reference field="18" count="1" selected="0">
            <x v="1"/>
          </reference>
        </references>
      </pivotArea>
    </chartFormat>
    <chartFormat chart="9" format="21" series="1">
      <pivotArea type="data" outline="0" fieldPosition="0">
        <references count="3">
          <reference field="4294967294" count="1" selected="0">
            <x v="0"/>
          </reference>
          <reference field="2" count="1" selected="0">
            <x v="0"/>
          </reference>
          <reference field="18" count="1" selected="0">
            <x v="2"/>
          </reference>
        </references>
      </pivotArea>
    </chartFormat>
    <chartFormat chart="9" format="22" series="1">
      <pivotArea type="data" outline="0" fieldPosition="0">
        <references count="3">
          <reference field="4294967294" count="1" selected="0">
            <x v="0"/>
          </reference>
          <reference field="2" count="1" selected="0">
            <x v="1"/>
          </reference>
          <reference field="18" count="1" selected="0">
            <x v="2"/>
          </reference>
        </references>
      </pivotArea>
    </chartFormat>
    <chartFormat chart="9" format="23" series="1">
      <pivotArea type="data" outline="0" fieldPosition="0">
        <references count="3">
          <reference field="4294967294" count="1" selected="0">
            <x v="0"/>
          </reference>
          <reference field="2" count="1" selected="0">
            <x v="2"/>
          </reference>
          <reference field="18" count="1" selected="0">
            <x v="2"/>
          </reference>
        </references>
      </pivotArea>
    </chartFormat>
    <chartFormat chart="9" format="24" series="1">
      <pivotArea type="data" outline="0" fieldPosition="0">
        <references count="3">
          <reference field="4294967294" count="1" selected="0">
            <x v="0"/>
          </reference>
          <reference field="2" count="1" selected="0">
            <x v="0"/>
          </reference>
          <reference field="18" count="1" selected="0">
            <x v="3"/>
          </reference>
        </references>
      </pivotArea>
    </chartFormat>
    <chartFormat chart="9" format="25" series="1">
      <pivotArea type="data" outline="0" fieldPosition="0">
        <references count="1">
          <reference field="4294967294" count="1" selected="0">
            <x v="0"/>
          </reference>
        </references>
      </pivotArea>
    </chartFormat>
    <chartFormat chart="9" format="26" series="1">
      <pivotArea type="data" outline="0" fieldPosition="0">
        <references count="2">
          <reference field="4294967294" count="1" selected="0">
            <x v="0"/>
          </reference>
          <reference field="2" count="1" selected="0">
            <x v="0"/>
          </reference>
        </references>
      </pivotArea>
    </chartFormat>
    <chartFormat chart="9" format="27" series="1">
      <pivotArea type="data" outline="0" fieldPosition="0">
        <references count="2">
          <reference field="4294967294" count="1" selected="0">
            <x v="0"/>
          </reference>
          <reference field="2" count="1" selected="0">
            <x v="1"/>
          </reference>
        </references>
      </pivotArea>
    </chartFormat>
    <chartFormat chart="9" format="28" series="1">
      <pivotArea type="data" outline="0" fieldPosition="0">
        <references count="2">
          <reference field="4294967294" count="1" selected="0">
            <x v="0"/>
          </reference>
          <reference field="2" count="1" selected="0">
            <x v="2"/>
          </reference>
        </references>
      </pivotArea>
    </chartFormat>
    <chartFormat chart="9" format="29" series="1">
      <pivotArea type="data" outline="0" fieldPosition="0">
        <references count="3">
          <reference field="4294967294" count="1" selected="0">
            <x v="0"/>
          </reference>
          <reference field="2" count="1" selected="0">
            <x v="1"/>
          </reference>
          <reference field="18" count="1" selected="0">
            <x v="0"/>
          </reference>
        </references>
      </pivotArea>
    </chartFormat>
    <chartFormat chart="9" format="30" series="1">
      <pivotArea type="data" outline="0" fieldPosition="0">
        <references count="3">
          <reference field="4294967294" count="1" selected="0">
            <x v="0"/>
          </reference>
          <reference field="2" count="1" selected="0">
            <x v="2"/>
          </reference>
          <reference field="18"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68F74-D460-4C74-8CE1-E982B774C07A}" name="PivotTable4"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9">
  <location ref="K8:R15" firstHeaderRow="0" firstDataRow="1" firstDataCol="1"/>
  <pivotFields count="8">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x v="6"/>
    </i>
  </rowItems>
  <colFields count="1">
    <field x="-2"/>
  </colFields>
  <colItems count="7">
    <i>
      <x/>
    </i>
    <i i="1">
      <x v="1"/>
    </i>
    <i i="2">
      <x v="2"/>
    </i>
    <i i="3">
      <x v="3"/>
    </i>
    <i i="4">
      <x v="4"/>
    </i>
    <i i="5">
      <x v="5"/>
    </i>
    <i i="6">
      <x v="6"/>
    </i>
  </colItems>
  <dataFields count="7">
    <dataField name="Rank 1" fld="1" baseField="0" baseItem="0"/>
    <dataField name="Rank 2" fld="2" baseField="0" baseItem="0"/>
    <dataField name="Rank 3" fld="3" baseField="0" baseItem="0"/>
    <dataField name="Rank 4" fld="4" baseField="0" baseItem="0"/>
    <dataField name="Rank 5" fld="5" baseField="0" baseItem="0"/>
    <dataField name="Rank 6" fld="6" baseField="0" baseItem="0"/>
    <dataField name="Rank 7" fld="7" baseField="0" baseItem="0"/>
  </dataFields>
  <formats count="6">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fieldPosition="0">
        <references count="1">
          <reference field="4294967294" count="7">
            <x v="0"/>
            <x v="1"/>
            <x v="2"/>
            <x v="3"/>
            <x v="4"/>
            <x v="5"/>
            <x v="6"/>
          </reference>
        </references>
      </pivotArea>
    </format>
  </formats>
  <chartFormats count="7">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5"/>
          </reference>
        </references>
      </pivotArea>
    </chartFormat>
    <chartFormat chart="7" format="6" series="1">
      <pivotArea type="data" outline="0" fieldPosition="0">
        <references count="1">
          <reference field="4294967294" count="1" selected="0">
            <x v="6"/>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ank 1"/>
    <pivotHierarchy dragToData="1" caption="Rank 2"/>
    <pivotHierarchy dragToData="1" caption="Rank 3"/>
    <pivotHierarchy dragToData="1" caption="Rank 4"/>
    <pivotHierarchy dragToData="1" caption="Rank 5"/>
    <pivotHierarchy dragToData="1" caption="Rank 6"/>
    <pivotHierarchy dragToData="1" caption="Rank 7"/>
  </pivotHierarchies>
  <pivotTableStyleInfo name="PivotStyleMedium9"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_Data]"/>
        <x15:activeTabTopLevelEntity name="[Ranking_By_Respon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17B452-7CEC-4CB3-93D0-DF8E3813F3F4}" name="Gender_By-Product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H21" firstHeaderRow="0" firstDataRow="1" firstDataCol="1"/>
  <pivotFields count="25">
    <pivotField axis="axisRow" showAll="0">
      <items count="3">
        <item x="0"/>
        <item x="1"/>
        <item t="default"/>
      </items>
    </pivotField>
    <pivotField showAll="0"/>
    <pivotField showAll="0">
      <items count="4">
        <item x="2"/>
        <item x="0"/>
        <item x="1"/>
        <item t="default"/>
      </items>
    </pivotField>
    <pivotField showAll="0">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Fields count="1">
    <field x="0"/>
  </rowFields>
  <rowItems count="3">
    <i>
      <x/>
    </i>
    <i>
      <x v="1"/>
    </i>
    <i t="grand">
      <x/>
    </i>
  </rowItems>
  <colFields count="1">
    <field x="-2"/>
  </colFields>
  <colItems count="7">
    <i>
      <x/>
    </i>
    <i i="1">
      <x v="1"/>
    </i>
    <i i="2">
      <x v="2"/>
    </i>
    <i i="3">
      <x v="3"/>
    </i>
    <i i="4">
      <x v="4"/>
    </i>
    <i i="5">
      <x v="5"/>
    </i>
    <i i="6">
      <x v="6"/>
    </i>
  </colItems>
  <dataFields count="7">
    <dataField name="Average Mutual_Funds" fld="4" subtotal="average" baseField="0" baseItem="0"/>
    <dataField name="Average Equity_Market" fld="5" subtotal="average" baseField="0" baseItem="0"/>
    <dataField name="Average Debentures" fld="6" subtotal="average" baseField="0" baseItem="0"/>
    <dataField name="Average Govt_Bonds" fld="7" subtotal="average" baseField="0" baseItem="0"/>
    <dataField name="Average Fixed_Deposits" fld="8" subtotal="average" baseField="0" baseItem="0"/>
    <dataField name="Average PPF" fld="9" subtotal="average" baseField="0" baseItem="0"/>
    <dataField name="Average Gold" fld="10" subtotal="average" baseField="0" baseItem="0"/>
  </dataFields>
  <formats count="1">
    <format dxfId="6">
      <pivotArea outline="0" collapsedLevelsAreSubtotals="1" fieldPosition="0"/>
    </format>
  </formats>
  <chartFormats count="3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 chart="3" format="6" series="1">
      <pivotArea type="data" outline="0" fieldPosition="0">
        <references count="1">
          <reference field="4294967294" count="1" selected="0">
            <x v="6"/>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 chart="4" format="10" series="1">
      <pivotArea type="data" outline="0" fieldPosition="0">
        <references count="1">
          <reference field="4294967294" count="1" selected="0">
            <x v="3"/>
          </reference>
        </references>
      </pivotArea>
    </chartFormat>
    <chartFormat chart="4" format="11" series="1">
      <pivotArea type="data" outline="0" fieldPosition="0">
        <references count="1">
          <reference field="4294967294" count="1" selected="0">
            <x v="4"/>
          </reference>
        </references>
      </pivotArea>
    </chartFormat>
    <chartFormat chart="4" format="12" series="1">
      <pivotArea type="data" outline="0" fieldPosition="0">
        <references count="1">
          <reference field="4294967294" count="1" selected="0">
            <x v="5"/>
          </reference>
        </references>
      </pivotArea>
    </chartFormat>
    <chartFormat chart="4" format="13" series="1">
      <pivotArea type="data" outline="0" fieldPosition="0">
        <references count="1">
          <reference field="4294967294" count="1" selected="0">
            <x v="6"/>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5"/>
          </reference>
        </references>
      </pivotArea>
    </chartFormat>
    <chartFormat chart="5" format="20" series="1">
      <pivotArea type="data" outline="0" fieldPosition="0">
        <references count="1">
          <reference field="4294967294" count="1" selected="0">
            <x v="6"/>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5"/>
          </reference>
        </references>
      </pivotArea>
    </chartFormat>
    <chartFormat chart="7" format="6" series="1">
      <pivotArea type="data" outline="0" fieldPosition="0">
        <references count="1">
          <reference field="4294967294" count="1" selected="0">
            <x v="6"/>
          </reference>
        </references>
      </pivotArea>
    </chartFormat>
    <chartFormat chart="14" format="28" series="1">
      <pivotArea type="data" outline="0" fieldPosition="0">
        <references count="1">
          <reference field="4294967294" count="1" selected="0">
            <x v="0"/>
          </reference>
        </references>
      </pivotArea>
    </chartFormat>
    <chartFormat chart="14" format="29" series="1">
      <pivotArea type="data" outline="0" fieldPosition="0">
        <references count="1">
          <reference field="4294967294" count="1" selected="0">
            <x v="1"/>
          </reference>
        </references>
      </pivotArea>
    </chartFormat>
    <chartFormat chart="14" format="30" series="1">
      <pivotArea type="data" outline="0" fieldPosition="0">
        <references count="1">
          <reference field="4294967294" count="1" selected="0">
            <x v="2"/>
          </reference>
        </references>
      </pivotArea>
    </chartFormat>
    <chartFormat chart="14" format="31" series="1">
      <pivotArea type="data" outline="0" fieldPosition="0">
        <references count="1">
          <reference field="4294967294" count="1" selected="0">
            <x v="3"/>
          </reference>
        </references>
      </pivotArea>
    </chartFormat>
    <chartFormat chart="14" format="32" series="1">
      <pivotArea type="data" outline="0" fieldPosition="0">
        <references count="1">
          <reference field="4294967294" count="1" selected="0">
            <x v="4"/>
          </reference>
        </references>
      </pivotArea>
    </chartFormat>
    <chartFormat chart="14" format="33" series="1">
      <pivotArea type="data" outline="0" fieldPosition="0">
        <references count="1">
          <reference field="4294967294" count="1" selected="0">
            <x v="5"/>
          </reference>
        </references>
      </pivotArea>
    </chartFormat>
    <chartFormat chart="14" format="34" series="1">
      <pivotArea type="data" outline="0" fieldPosition="0">
        <references count="1">
          <reference field="4294967294" count="1" selected="0">
            <x v="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0A243-5BC9-433D-9E7B-50F81F6632CE}" name="Respondents by  A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I13" firstHeaderRow="0"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s>
  <rowFields count="1">
    <field x="18"/>
  </rowFields>
  <rowItems count="5">
    <i>
      <x/>
    </i>
    <i>
      <x v="1"/>
    </i>
    <i>
      <x v="2"/>
    </i>
    <i>
      <x v="3"/>
    </i>
    <i t="grand">
      <x/>
    </i>
  </rowItems>
  <colFields count="1">
    <field x="-2"/>
  </colFields>
  <colItems count="2">
    <i>
      <x/>
    </i>
    <i i="1">
      <x v="1"/>
    </i>
  </colItems>
  <dataFields count="2">
    <dataField name="Total Respondents" fld="18" subtotal="count" baseField="18" baseItem="0"/>
    <dataField name="% of Respondents" fld="18" subtotal="count" baseField="17" baseItem="0" numFmtId="9">
      <extLst>
        <ext xmlns:x14="http://schemas.microsoft.com/office/spreadsheetml/2009/9/main" uri="{E15A36E0-9728-4e99-A89B-3F7291B0FE68}">
          <x14:dataField pivotShowAs="percentOfParentRow"/>
        </ext>
      </extLst>
    </dataField>
  </dataFields>
  <formats count="3">
    <format dxfId="3">
      <pivotArea outline="0" collapsedLevelsAreSubtotals="1" fieldPosition="0"/>
    </format>
    <format dxfId="4">
      <pivotArea outline="0" fieldPosition="0">
        <references count="1">
          <reference field="4294967294" count="1">
            <x v="1"/>
          </reference>
        </references>
      </pivotArea>
    </format>
    <format dxfId="5">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F6088D-5284-4A3E-A132-FB06DB211172}" name="Total Surve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5">
    <pivotField dataField="1"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Items count="1">
    <i/>
  </rowItems>
  <colItems count="1">
    <i/>
  </colItems>
  <dataFields count="1">
    <dataField name="Total Survey" fld="0" subtotal="count" baseField="0" baseItem="0" numFmtId="2"/>
  </dataFields>
  <formats count="3">
    <format dxfId="0">
      <pivotArea outline="0" collapsedLevelsAreSubtotals="1" fieldPosition="0"/>
    </format>
    <format dxfId="1">
      <pivotArea outline="0" fieldPosition="0">
        <references count="1">
          <reference field="4294967294" count="1">
            <x v="0"/>
          </reference>
        </references>
      </pivotArea>
    </format>
    <format dxfId="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D8C71-1042-48C2-978F-1411680C1EA9}" name="Stock_Market %"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G2" firstHeaderRow="1" firstDataRow="1" firstDataCol="0"/>
  <pivotFields count="25">
    <pivotField showAll="0">
      <items count="3">
        <item x="0"/>
        <item x="1"/>
        <item t="default"/>
      </items>
    </pivotField>
    <pivotField showAll="0"/>
    <pivotField showAll="0">
      <items count="4">
        <item x="2"/>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Items count="1">
    <i/>
  </rowItems>
  <colItems count="1">
    <i/>
  </colItems>
  <dataFields count="1">
    <dataField name="Stock_Market %" fld="11" subtotal="count" baseField="0" baseItem="0"/>
  </dataFields>
  <formats count="2">
    <format dxfId="41">
      <pivotArea outline="0" collapsedLevelsAreSubtotals="1" fieldPosition="0"/>
    </format>
    <format dxfId="42">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7054B1-DB49-4669-BF7C-58917BFA9C38}" name="Respondents By Attraction Source "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5:H10" firstHeaderRow="1"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axis="axisRow" dataField="1" showAll="0">
      <items count="5">
        <item x="1"/>
        <item x="3"/>
        <item x="0"/>
        <item x="2"/>
        <item t="default"/>
      </items>
    </pivotField>
  </pivotFields>
  <rowFields count="1">
    <field x="24"/>
  </rowFields>
  <rowItems count="5">
    <i>
      <x/>
    </i>
    <i>
      <x v="1"/>
    </i>
    <i>
      <x v="2"/>
    </i>
    <i>
      <x v="3"/>
    </i>
    <i t="grand">
      <x/>
    </i>
  </rowItems>
  <colItems count="1">
    <i/>
  </colItems>
  <dataFields count="1">
    <dataField name="Count of Source" fld="24" subtotal="count" baseField="24" baseItem="0" numFmtId="9">
      <extLst>
        <ext xmlns:x14="http://schemas.microsoft.com/office/spreadsheetml/2009/9/main" uri="{E15A36E0-9728-4e99-A89B-3F7291B0FE68}">
          <x14:dataField pivotShowAs="percentOfParentRow"/>
        </ext>
      </extLst>
    </dataField>
  </dataFields>
  <formats count="2">
    <format dxfId="14">
      <pivotArea outline="0" collapsedLevelsAreSubtotals="1" fieldPosition="0"/>
    </format>
    <format dxfId="15">
      <pivotArea outline="0" fieldPosition="0">
        <references count="1">
          <reference field="4294967294" count="1">
            <x v="0"/>
          </reference>
        </references>
      </pivotArea>
    </format>
  </formats>
  <chartFormats count="5">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4" count="1" selected="0">
            <x v="0"/>
          </reference>
        </references>
      </pivotArea>
    </chartFormat>
    <chartFormat chart="5" format="9">
      <pivotArea type="data" outline="0" fieldPosition="0">
        <references count="2">
          <reference field="4294967294" count="1" selected="0">
            <x v="0"/>
          </reference>
          <reference field="24" count="1" selected="0">
            <x v="1"/>
          </reference>
        </references>
      </pivotArea>
    </chartFormat>
    <chartFormat chart="5" format="10">
      <pivotArea type="data" outline="0" fieldPosition="0">
        <references count="2">
          <reference field="4294967294" count="1" selected="0">
            <x v="0"/>
          </reference>
          <reference field="24" count="1" selected="0">
            <x v="2"/>
          </reference>
        </references>
      </pivotArea>
    </chartFormat>
    <chartFormat chart="5" format="11">
      <pivotArea type="data" outline="0" fieldPosition="0">
        <references count="2">
          <reference field="4294967294" count="1" selected="0">
            <x v="0"/>
          </reference>
          <reference field="2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94BC96-E859-4961-A505-65CCEC960F83}" name="Investment Objective By Purpose"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F14:J18" firstHeaderRow="1" firstDataRow="2"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4">
        <item x="0"/>
        <item x="2"/>
        <item x="1"/>
        <item t="default"/>
      </items>
    </pivotField>
    <pivotField axis="axisCol" dataField="1" showAll="0">
      <items count="4">
        <item x="2"/>
        <item x="1"/>
        <item x="0"/>
        <item t="default"/>
      </items>
    </pivotField>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Fields count="1">
    <field x="13"/>
  </rowFields>
  <rowItems count="3">
    <i>
      <x/>
    </i>
    <i>
      <x v="1"/>
    </i>
    <i>
      <x v="2"/>
    </i>
  </rowItems>
  <colFields count="1">
    <field x="14"/>
  </colFields>
  <colItems count="4">
    <i>
      <x/>
    </i>
    <i>
      <x v="1"/>
    </i>
    <i>
      <x v="2"/>
    </i>
    <i t="grand">
      <x/>
    </i>
  </colItems>
  <dataFields count="1">
    <dataField name="Count of Purpose" fld="14" subtotal="count" baseField="13" baseItem="0" numFmtId="1"/>
  </dataFields>
  <formats count="3">
    <format dxfId="17">
      <pivotArea outline="0" fieldPosition="0">
        <references count="1">
          <reference field="4294967294" count="1">
            <x v="0"/>
          </reference>
        </references>
      </pivotArea>
    </format>
    <format dxfId="18">
      <pivotArea outline="0" collapsedLevelsAreSubtotals="1" fieldPosition="0"/>
    </format>
    <format dxfId="19">
      <pivotArea dataOnly="0" fieldPosition="0">
        <references count="1">
          <reference field="13" count="1">
            <x v="2"/>
          </reference>
        </references>
      </pivotArea>
    </format>
  </formats>
  <conditionalFormats count="1">
    <conditionalFormat priority="1">
      <pivotAreas count="1">
        <pivotArea type="data" collapsedLevelsAreSubtotals="1" fieldPosition="0">
          <references count="2">
            <reference field="4294967294" count="1" selected="0">
              <x v="0"/>
            </reference>
            <reference field="13" count="3">
              <x v="0"/>
              <x v="1"/>
              <x v="2"/>
            </reference>
          </references>
        </pivotArea>
      </pivotAreas>
    </conditionalFormat>
  </conditional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86AA7D-DF7E-44F1-9E82-B9FCF3BEDCF3}" name="Savings Reason By Respondent"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D5:E9" firstHeaderRow="1"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axis="axisRow" dataField="1" showAll="0">
      <items count="4">
        <item x="2"/>
        <item x="1"/>
        <item x="0"/>
        <item t="default"/>
      </items>
    </pivotField>
    <pivotField showAll="0"/>
    <pivotField showAll="0"/>
    <pivotField showAll="0"/>
    <pivotField showAll="0"/>
    <pivotField showAll="0"/>
  </pivotFields>
  <rowFields count="1">
    <field x="19"/>
  </rowFields>
  <rowItems count="4">
    <i>
      <x/>
    </i>
    <i>
      <x v="1"/>
    </i>
    <i>
      <x v="2"/>
    </i>
    <i t="grand">
      <x/>
    </i>
  </rowItems>
  <colItems count="1">
    <i/>
  </colItems>
  <dataFields count="1">
    <dataField name="Total Respondents" fld="19" subtotal="count" baseField="19" baseItem="0"/>
  </dataFields>
  <formats count="1">
    <format dxfId="1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9" count="1" selected="0">
            <x v="0"/>
          </reference>
        </references>
      </pivotArea>
    </chartFormat>
    <chartFormat chart="5" format="7">
      <pivotArea type="data" outline="0" fieldPosition="0">
        <references count="2">
          <reference field="4294967294" count="1" selected="0">
            <x v="0"/>
          </reference>
          <reference field="19" count="1" selected="0">
            <x v="1"/>
          </reference>
        </references>
      </pivotArea>
    </chartFormat>
    <chartFormat chart="5" format="8">
      <pivotArea type="data" outline="0" fieldPosition="0">
        <references count="2">
          <reference field="4294967294" count="1" selected="0">
            <x v="0"/>
          </reference>
          <reference field="19"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1DDA6C-670E-452D-92DF-1084F29B10CF}" name="Respondents by Investment Facto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B9" firstHeaderRow="1"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axis="axisRow" dataField="1" showAll="0">
      <items count="4">
        <item x="1"/>
        <item x="0"/>
        <item x="2"/>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Total Respondents" fld="12" subtotal="count" baseField="12" baseItem="0"/>
  </dataFields>
  <formats count="2">
    <format dxfId="12">
      <pivotArea outline="0" collapsedLevelsAreSubtotals="1" fieldPosition="0"/>
    </format>
    <format dxfId="13">
      <pivotArea outline="0" fieldPosition="0">
        <references count="1">
          <reference field="4294967294" count="1">
            <x v="0"/>
          </reference>
        </references>
      </pivotArea>
    </format>
  </formats>
  <chartFormats count="4">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2" count="1" selected="0">
            <x v="0"/>
          </reference>
        </references>
      </pivotArea>
    </chartFormat>
    <chartFormat chart="10" format="16">
      <pivotArea type="data" outline="0" fieldPosition="0">
        <references count="2">
          <reference field="4294967294" count="1" selected="0">
            <x v="0"/>
          </reference>
          <reference field="12" count="1" selected="0">
            <x v="1"/>
          </reference>
        </references>
      </pivotArea>
    </chartFormat>
    <chartFormat chart="10" format="17">
      <pivotArea type="data" outline="0" fieldPosition="0">
        <references count="2">
          <reference field="4294967294" count="1" selected="0">
            <x v="0"/>
          </reference>
          <reference field="12"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FF6F1E-C556-4DC5-8E73-22ADD04DD668}" name="Respondent By Investment Objectiv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5:K10" firstHeaderRow="1"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s>
  <rowFields count="1">
    <field x="18"/>
  </rowFields>
  <rowItems count="5">
    <i>
      <x/>
    </i>
    <i>
      <x v="1"/>
    </i>
    <i>
      <x v="2"/>
    </i>
    <i>
      <x v="3"/>
    </i>
    <i t="grand">
      <x/>
    </i>
  </rowItems>
  <colItems count="1">
    <i/>
  </colItems>
  <dataFields count="1">
    <dataField name="Count of Avenue" fld="18" subtotal="count" baseField="0" baseItem="0"/>
  </dataFields>
  <formats count="1">
    <format dxfId="16">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5064955-C324-4ABB-95D9-DF4ED601D434}" name="Investment Duration By Expect Rate " cacheId="4"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3">
  <location ref="A14:D19" firstHeaderRow="1" firstDataRow="2"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5">
        <item x="0"/>
        <item x="2"/>
        <item x="3"/>
        <item x="1"/>
        <item t="default"/>
      </items>
    </pivotField>
    <pivotField showAll="0"/>
    <pivotField axis="axisCol" dataField="1" showAll="0">
      <items count="4">
        <item x="1"/>
        <item x="0"/>
        <item x="2"/>
        <item t="default"/>
      </items>
    </pivotField>
    <pivotField showAll="0">
      <items count="5">
        <item x="1"/>
        <item x="2"/>
        <item x="0"/>
        <item x="3"/>
        <item t="default"/>
      </items>
    </pivotField>
    <pivotField showAll="0"/>
    <pivotField showAll="0"/>
    <pivotField showAll="0"/>
    <pivotField showAll="0"/>
    <pivotField showAll="0"/>
    <pivotField showAll="0"/>
  </pivotFields>
  <rowFields count="1">
    <field x="15"/>
  </rowFields>
  <rowItems count="4">
    <i>
      <x/>
    </i>
    <i>
      <x v="1"/>
    </i>
    <i>
      <x v="2"/>
    </i>
    <i>
      <x v="3"/>
    </i>
  </rowItems>
  <colFields count="1">
    <field x="17"/>
  </colFields>
  <colItems count="3">
    <i>
      <x/>
    </i>
    <i>
      <x v="1"/>
    </i>
    <i>
      <x v="2"/>
    </i>
  </colItems>
  <dataFields count="1">
    <dataField name="Count of Expect" fld="17" subtotal="count" baseField="0" baseItem="0"/>
  </dataFields>
  <formats count="1">
    <format dxfId="20">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9">
    <chartFormat chart="2" format="5"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17" count="1" selected="0">
            <x v="1"/>
          </reference>
        </references>
      </pivotArea>
    </chartFormat>
    <chartFormat chart="2" format="7" series="1">
      <pivotArea type="data" outline="0" fieldPosition="0">
        <references count="2">
          <reference field="4294967294" count="1" selected="0">
            <x v="0"/>
          </reference>
          <reference field="17" count="1" selected="0">
            <x v="2"/>
          </reference>
        </references>
      </pivotArea>
    </chartFormat>
    <chartFormat chart="1" format="6" series="1">
      <pivotArea type="data" outline="0" fieldPosition="0">
        <references count="2">
          <reference field="4294967294" count="1" selected="0">
            <x v="0"/>
          </reference>
          <reference field="17" count="1" selected="0">
            <x v="1"/>
          </reference>
        </references>
      </pivotArea>
    </chartFormat>
    <chartFormat chart="1" format="7" series="1">
      <pivotArea type="data" outline="0" fieldPosition="0">
        <references count="2">
          <reference field="4294967294" count="1" selected="0">
            <x v="0"/>
          </reference>
          <reference field="17" count="1" selected="0">
            <x v="2"/>
          </reference>
        </references>
      </pivotArea>
    </chartFormat>
    <chartFormat chart="0" format="11" series="1">
      <pivotArea type="data" outline="0" fieldPosition="0">
        <references count="2">
          <reference field="4294967294" count="1" selected="0">
            <x v="0"/>
          </reference>
          <reference field="17" count="1" selected="0">
            <x v="1"/>
          </reference>
        </references>
      </pivotArea>
    </chartFormat>
    <chartFormat chart="0" format="12" series="1">
      <pivotArea type="data" outline="0" fieldPosition="0">
        <references count="2">
          <reference field="4294967294" count="1" selected="0">
            <x v="0"/>
          </reference>
          <reference field="1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A879D9-82A2-4BF6-8328-944707217578}" name="Respondent By Reason for Equit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9" firstHeaderRow="0"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axis="axisRow" dataField="1" showAll="0">
      <items count="4">
        <item x="0"/>
        <item x="1"/>
        <item x="2"/>
        <item t="default"/>
      </items>
    </pivotField>
    <pivotField showAll="0"/>
    <pivotField showAll="0"/>
    <pivotField showAll="0"/>
    <pivotField showAll="0"/>
  </pivotFields>
  <rowFields count="1">
    <field x="20"/>
  </rowFields>
  <rowItems count="4">
    <i>
      <x/>
    </i>
    <i>
      <x v="1"/>
    </i>
    <i>
      <x v="2"/>
    </i>
    <i t="grand">
      <x/>
    </i>
  </rowItems>
  <colFields count="1">
    <field x="-2"/>
  </colFields>
  <colItems count="2">
    <i>
      <x/>
    </i>
    <i i="1">
      <x v="1"/>
    </i>
  </colItems>
  <dataFields count="2">
    <dataField name="Total Respondents" fld="20" subtotal="count" baseField="20" baseItem="0"/>
    <dataField name="% of Respondents" fld="20" subtotal="count" baseField="20" baseItem="0" numFmtId="10">
      <extLst>
        <ext xmlns:x14="http://schemas.microsoft.com/office/spreadsheetml/2009/9/main" uri="{E15A36E0-9728-4e99-A89B-3F7291B0FE68}">
          <x14:dataField pivotShowAs="percentOfParentRow"/>
        </ext>
      </extLst>
    </dataField>
  </dataFields>
  <formats count="5">
    <format dxfId="21">
      <pivotArea outline="0" collapsedLevelsAreSubtotals="1" fieldPosition="0"/>
    </format>
    <format dxfId="22">
      <pivotArea outline="0" fieldPosition="0">
        <references count="1">
          <reference field="4294967294" count="1">
            <x v="1"/>
          </reference>
        </references>
      </pivotArea>
    </format>
    <format dxfId="23">
      <pivotArea collapsedLevelsAreSubtotals="1" fieldPosition="0">
        <references count="1">
          <reference field="20" count="0"/>
        </references>
      </pivotArea>
    </format>
    <format dxfId="24">
      <pivotArea grandRow="1" outline="0" collapsedLevelsAreSubtotals="1" fieldPosition="0"/>
    </format>
    <format dxfId="25">
      <pivotArea outline="0" collapsedLevelsAreSubtotals="1" fieldPosition="0">
        <references count="1">
          <reference field="4294967294" count="1" selected="0">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8C357D2-66C8-4CB5-9056-797C87057EEE}" name="Respondent By Reason  for Fixed Deposit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H17" firstHeaderRow="0"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axis="axisRow" dataField="1" showAll="0">
      <items count="4">
        <item x="0"/>
        <item x="1"/>
        <item x="2"/>
        <item t="default"/>
      </items>
    </pivotField>
    <pivotField showAll="0"/>
  </pivotFields>
  <rowFields count="1">
    <field x="23"/>
  </rowFields>
  <rowItems count="4">
    <i>
      <x/>
    </i>
    <i>
      <x v="1"/>
    </i>
    <i>
      <x v="2"/>
    </i>
    <i t="grand">
      <x/>
    </i>
  </rowItems>
  <colFields count="1">
    <field x="-2"/>
  </colFields>
  <colItems count="2">
    <i>
      <x/>
    </i>
    <i i="1">
      <x v="1"/>
    </i>
  </colItems>
  <dataFields count="2">
    <dataField name="Total Respondents" fld="23" subtotal="count" baseField="23" baseItem="0"/>
    <dataField name="% Of Respondents" fld="23" subtotal="count" baseField="23" baseItem="0" numFmtId="9">
      <extLst>
        <ext xmlns:x14="http://schemas.microsoft.com/office/spreadsheetml/2009/9/main" uri="{E15A36E0-9728-4e99-A89B-3F7291B0FE68}">
          <x14:dataField pivotShowAs="percentOfParentRow"/>
        </ext>
      </extLst>
    </dataField>
  </dataFields>
  <formats count="4">
    <format dxfId="31">
      <pivotArea outline="0" collapsedLevelsAreSubtotals="1" fieldPosition="0"/>
    </format>
    <format dxfId="32">
      <pivotArea grandRow="1" outline="0" collapsedLevelsAreSubtotals="1" fieldPosition="0"/>
    </format>
    <format dxfId="33">
      <pivotArea field="23" grandRow="1" outline="0" collapsedLevelsAreSubtotals="1" axis="axisRow" fieldPosition="0">
        <references count="1">
          <reference field="4294967294" count="1" selected="0">
            <x v="0"/>
          </reference>
        </references>
      </pivotArea>
    </format>
    <format dxfId="34">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9FACA3-32FE-4A11-AB4A-2773D4477563}" name="Respondent By Reason  for  Bond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D17" firstHeaderRow="0"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axis="axisRow" dataField="1" showAll="0">
      <items count="4">
        <item x="1"/>
        <item x="0"/>
        <item x="2"/>
        <item t="default"/>
      </items>
    </pivotField>
    <pivotField showAll="0"/>
    <pivotField showAll="0"/>
  </pivotFields>
  <rowFields count="1">
    <field x="22"/>
  </rowFields>
  <rowItems count="4">
    <i>
      <x/>
    </i>
    <i>
      <x v="1"/>
    </i>
    <i>
      <x v="2"/>
    </i>
    <i t="grand">
      <x/>
    </i>
  </rowItems>
  <colFields count="1">
    <field x="-2"/>
  </colFields>
  <colItems count="2">
    <i>
      <x/>
    </i>
    <i i="1">
      <x v="1"/>
    </i>
  </colItems>
  <dataFields count="2">
    <dataField name="Total Respondents" fld="22" subtotal="count" baseField="22" baseItem="0"/>
    <dataField name="% Of Respondents" fld="22" subtotal="count" baseField="22" baseItem="0" numFmtId="9">
      <extLst>
        <ext xmlns:x14="http://schemas.microsoft.com/office/spreadsheetml/2009/9/main" uri="{E15A36E0-9728-4e99-A89B-3F7291B0FE68}">
          <x14:dataField pivotShowAs="percentOfParentRow"/>
        </ext>
      </extLst>
    </dataField>
  </dataFields>
  <formats count="5">
    <format dxfId="35">
      <pivotArea outline="0" collapsedLevelsAreSubtotals="1" fieldPosition="0"/>
    </format>
    <format dxfId="36">
      <pivotArea grandRow="1" outline="0" collapsedLevelsAreSubtotals="1" fieldPosition="0"/>
    </format>
    <format dxfId="37">
      <pivotArea outline="0" fieldPosition="0">
        <references count="1">
          <reference field="4294967294" count="1">
            <x v="1"/>
          </reference>
        </references>
      </pivotArea>
    </format>
    <format dxfId="38">
      <pivotArea outline="0" collapsedLevelsAreSubtotals="1" fieldPosition="0">
        <references count="1">
          <reference field="4294967294" count="1" selected="0">
            <x v="1"/>
          </reference>
        </references>
      </pivotArea>
    </format>
    <format dxfId="39">
      <pivotArea outline="0" collapsedLevelsAreSubtotals="1" fieldPosition="0">
        <references count="1">
          <reference field="4294967294" count="1" selected="0">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9D85761-0CC9-4B6E-851B-7AE7782DB3EC}" name="Respondent By Reason  for Mutual"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9" firstHeaderRow="0" firstDataRow="1" firstDataCol="1"/>
  <pivotFields count="25">
    <pivotField showAll="0">
      <items count="3">
        <item x="0"/>
        <item x="1"/>
        <item t="default"/>
      </items>
    </pivotField>
    <pivotField showAll="0"/>
    <pivotField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axis="axisRow" dataField="1" showAll="0">
      <items count="4">
        <item x="0"/>
        <item x="2"/>
        <item x="1"/>
        <item t="default"/>
      </items>
    </pivotField>
    <pivotField showAll="0"/>
    <pivotField showAll="0"/>
    <pivotField showAll="0"/>
  </pivotFields>
  <rowFields count="1">
    <field x="21"/>
  </rowFields>
  <rowItems count="4">
    <i>
      <x/>
    </i>
    <i>
      <x v="1"/>
    </i>
    <i>
      <x v="2"/>
    </i>
    <i t="grand">
      <x/>
    </i>
  </rowItems>
  <colFields count="1">
    <field x="-2"/>
  </colFields>
  <colItems count="2">
    <i>
      <x/>
    </i>
    <i i="1">
      <x v="1"/>
    </i>
  </colItems>
  <dataFields count="2">
    <dataField name="Total Respondents" fld="21" subtotal="count" baseField="21" baseItem="0"/>
    <dataField name="% Of Respondents" fld="21" subtotal="count" baseField="21" baseItem="0" numFmtId="9">
      <extLst>
        <ext xmlns:x14="http://schemas.microsoft.com/office/spreadsheetml/2009/9/main" uri="{E15A36E0-9728-4e99-A89B-3F7291B0FE68}">
          <x14:dataField pivotShowAs="percentOfParentRow"/>
        </ext>
      </extLst>
    </dataField>
  </dataFields>
  <formats count="5">
    <format dxfId="26">
      <pivotArea outline="0" collapsedLevelsAreSubtotals="1" fieldPosition="0"/>
    </format>
    <format dxfId="27">
      <pivotArea grandRow="1" outline="0" collapsedLevelsAreSubtotals="1" fieldPosition="0"/>
    </format>
    <format dxfId="28">
      <pivotArea outline="0" collapsedLevelsAreSubtotals="1" fieldPosition="0">
        <references count="1">
          <reference field="4294967294" count="1" selected="0">
            <x v="0"/>
          </reference>
        </references>
      </pivotArea>
    </format>
    <format dxfId="29">
      <pivotArea outline="0" fieldPosition="0">
        <references count="1">
          <reference field="4294967294" count="1">
            <x v="1"/>
          </reference>
        </references>
      </pivotArea>
    </format>
    <format dxfId="30">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nue1" xr10:uid="{D78EA817-91F3-4C9A-96F2-BA89AA4E3FC3}" sourceName="Avenue">
  <pivotTables>
    <pivotTable tabId="2" name="Stock_Market %"/>
    <pivotTable tabId="11" name="PivotTable14"/>
    <pivotTable tabId="4" name="Respondent By Reason  for  Bonds"/>
    <pivotTable tabId="4" name="Respondent By Reason  for Fixed Deposits"/>
    <pivotTable tabId="4" name="Respondent By Reason  for Mutual"/>
    <pivotTable tabId="4" name="Respondent By Reason for Equity"/>
    <pivotTable tabId="3" name="Investment Duration By Expect Rate "/>
    <pivotTable tabId="3" name="Investment Objective By Purpose"/>
    <pivotTable tabId="3" name="Respondent By Investment Objective"/>
    <pivotTable tabId="3" name="Respondents By Attraction Source "/>
    <pivotTable tabId="3" name="Respondents by Investment Factor"/>
    <pivotTable tabId="3" name="Savings Reason By Respondent"/>
    <pivotTable tabId="2" name=" Avenue Selection By Age Group"/>
    <pivotTable tabId="2" name="Average Age"/>
    <pivotTable tabId="2" name="Gender_By-Products"/>
    <pivotTable tabId="2" name="Investment_Avenues %"/>
    <pivotTable tabId="2" name="Respondents by  Avenue"/>
    <pivotTable tabId="2" name="Total Survey"/>
  </pivotTables>
  <data>
    <tabular pivotCacheId="251693813">
      <items count="4">
        <i x="1" s="1"/>
        <i x="2" s="1"/>
        <i x="0"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Market" xr10:uid="{EFF8CB6D-9B50-4054-92CA-AF8EE066EB88}" sourceName="Stock_Market">
  <pivotTables>
    <pivotTable tabId="2" name="Stock_Market %"/>
    <pivotTable tabId="11" name="PivotTable14"/>
    <pivotTable tabId="4" name="Respondent By Reason  for  Bonds"/>
    <pivotTable tabId="4" name="Respondent By Reason  for Fixed Deposits"/>
    <pivotTable tabId="4" name="Respondent By Reason  for Mutual"/>
    <pivotTable tabId="4" name="Respondent By Reason for Equity"/>
    <pivotTable tabId="3" name="Investment Duration By Expect Rate "/>
    <pivotTable tabId="3" name="Investment Objective By Purpose"/>
    <pivotTable tabId="3" name="Respondent By Investment Objective"/>
    <pivotTable tabId="3" name="Respondents By Attraction Source "/>
    <pivotTable tabId="3" name="Respondents by Investment Factor"/>
    <pivotTable tabId="3" name="Savings Reason By Respondent"/>
    <pivotTable tabId="2" name=" Avenue Selection By Age Group"/>
    <pivotTable tabId="2" name="Average Age"/>
    <pivotTable tabId="2" name="Gender_By-Products"/>
    <pivotTable tabId="2" name="Respondents by  Avenue"/>
    <pivotTable tabId="2" name="Total Survey"/>
  </pivotTables>
  <data>
    <tabular pivotCacheId="251693813">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AE7A55B-E097-4D58-8579-17A8905CA6F3}" sourceName="gender">
  <pivotTables>
    <pivotTable tabId="2" name="Stock_Market %"/>
    <pivotTable tabId="11" name="PivotTable14"/>
    <pivotTable tabId="4" name="Respondent By Reason  for  Bonds"/>
    <pivotTable tabId="4" name="Respondent By Reason  for Fixed Deposits"/>
    <pivotTable tabId="4" name="Respondent By Reason  for Mutual"/>
    <pivotTable tabId="4" name="Respondent By Reason for Equity"/>
    <pivotTable tabId="3" name="Investment Duration By Expect Rate "/>
    <pivotTable tabId="3" name="Investment Objective By Purpose"/>
    <pivotTable tabId="3" name="Respondent By Investment Objective"/>
    <pivotTable tabId="3" name="Respondents By Attraction Source "/>
    <pivotTable tabId="3" name="Respondents by Investment Factor"/>
    <pivotTable tabId="3" name="Savings Reason By Respondent"/>
    <pivotTable tabId="2" name=" Avenue Selection By Age Group"/>
    <pivotTable tabId="2" name="Average Age"/>
    <pivotTable tabId="2" name="Gender_By-Products"/>
    <pivotTable tabId="2" name="Investment_Avenues %"/>
    <pivotTable tabId="2" name="Respondents by  Avenue"/>
    <pivotTable tabId="2" name="Total Survey"/>
  </pivotTables>
  <data>
    <tabular pivotCacheId="25169381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 xr10:uid="{5F3F5122-34FC-4156-A107-6D5FDCD5292A}" sourceName="Investment_Avenues">
  <pivotTables>
    <pivotTable tabId="11" name="PivotTable14"/>
    <pivotTable tabId="4" name="Respondent By Reason  for  Bonds"/>
    <pivotTable tabId="4" name="Respondent By Reason  for Fixed Deposits"/>
    <pivotTable tabId="4" name="Respondent By Reason  for Mutual"/>
    <pivotTable tabId="4" name="Respondent By Reason for Equity"/>
    <pivotTable tabId="3" name="Investment Duration By Expect Rate "/>
    <pivotTable tabId="3" name="Investment Objective By Purpose"/>
    <pivotTable tabId="3" name="Respondent By Investment Objective"/>
    <pivotTable tabId="3" name="Respondents By Attraction Source "/>
    <pivotTable tabId="3" name="Respondents by Investment Factor"/>
    <pivotTable tabId="3" name="Savings Reason By Respondent"/>
    <pivotTable tabId="2" name=" Avenue Selection By Age Group"/>
    <pivotTable tabId="2" name="Average Age"/>
    <pivotTable tabId="2" name="Gender_By-Products"/>
    <pivotTable tabId="2" name="Investment_Avenues %"/>
    <pivotTable tabId="2" name="Respondents by  Avenue"/>
    <pivotTable tabId="2" name="Total Survey"/>
  </pivotTables>
  <data>
    <tabular pivotCacheId="251693813">
      <items count="2">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55C09928-E867-40C9-97E0-4CE307A6E474}" sourceName="Age Category">
  <pivotTables>
    <pivotTable tabId="2" name="Stock_Market %"/>
    <pivotTable tabId="11" name="PivotTable14"/>
    <pivotTable tabId="4" name="Respondent By Reason  for  Bonds"/>
    <pivotTable tabId="4" name="Respondent By Reason  for Fixed Deposits"/>
    <pivotTable tabId="4" name="Respondent By Reason  for Mutual"/>
    <pivotTable tabId="4" name="Respondent By Reason for Equity"/>
    <pivotTable tabId="3" name="Investment Duration By Expect Rate "/>
    <pivotTable tabId="3" name="Investment Objective By Purpose"/>
    <pivotTable tabId="3" name="Respondent By Investment Objective"/>
    <pivotTable tabId="3" name="Respondents By Attraction Source "/>
    <pivotTable tabId="3" name="Respondents by Investment Factor"/>
    <pivotTable tabId="3" name="Savings Reason By Respondent"/>
    <pivotTable tabId="2" name=" Avenue Selection By Age Group"/>
    <pivotTable tabId="2" name="Average Age"/>
    <pivotTable tabId="2" name="Gender_By-Products"/>
    <pivotTable tabId="2" name="Investment_Avenues %"/>
    <pivotTable tabId="2" name="Respondents by  Avenue"/>
    <pivotTable tabId="2" name="Total Survey"/>
  </pivotTables>
  <data>
    <tabular pivotCacheId="2516938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enue 1" xr10:uid="{AF3347ED-CFCE-4490-B8B0-2FA1CCAB690F}" cache="Slicer_Avenue1" caption="Avenue" style="SlicerStyleDark6" rowHeight="216000"/>
  <slicer name="Stock_Market" xr10:uid="{8BDEF8C9-7FBA-438E-8996-B8C37E25A45A}" cache="Slicer_Stock_Market" caption="Stock_Market" style="SlicerStyleDark6" rowHeight="216000"/>
  <slicer name="gender" xr10:uid="{CF4834D8-09B5-479A-8C59-E25AAF9BCE48}" cache="Slicer_gender" caption="gender" style="SlicerStyleDark6" rowHeight="216000"/>
  <slicer name="Investment_Avenue" xr10:uid="{32E65B72-C6D1-41A3-8340-E18C2BC7F368}" cache="Slicer_Investment_Avenues" caption="Invest_Avenues" style="SlicerStyleDark6" rowHeight="216000"/>
  <slicer name="Age Category" xr10:uid="{E08F96E3-6DCC-4F9C-8E8D-40EDA1DB91A5}" cache="Slicer_Age_Category" caption="Age Categor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B0C004-3AC3-4909-BA42-94B3C213EA0E}" name="Avenue_Average_Ranks" displayName="Avenue_Average_Ranks" ref="B7:C14" totalsRowShown="0">
  <autoFilter ref="B7:C14" xr:uid="{76B0C004-3AC3-4909-BA42-94B3C213EA0E}"/>
  <tableColumns count="2">
    <tableColumn id="1" xr3:uid="{E3C3CFC8-6168-4241-951C-FD2738BE0F76}" name="Avenue" dataDxfId="52"/>
    <tableColumn id="2" xr3:uid="{F02D4259-335E-4C6B-85CF-46B7E774434E}" name="Average Rank"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DA8216-8A86-442C-AF07-DB6423A0D388}" name="Finance_Data" displayName="Finance_Data" ref="A1:Y41" totalsRowShown="0">
  <autoFilter ref="A1:Y41" xr:uid="{D1DA8216-8A86-442C-AF07-DB6423A0D388}"/>
  <tableColumns count="25">
    <tableColumn id="1" xr3:uid="{2D411C07-232F-4C01-A75A-192C42091078}" name="gender"/>
    <tableColumn id="2" xr3:uid="{F22875E2-922E-4FFE-8962-E04866197110}" name="age"/>
    <tableColumn id="26" xr3:uid="{A66DE6EB-7B79-4F4F-808E-EABC1C3CCE0E}" name="Age Category" dataDxfId="53">
      <calculatedColumnFormula array="1">_xlfn.IFS(Finance_Data[[#This Row],[age]]&lt;25, "Under 25", Finance_Data[[#This Row],[age]]&lt;=30, "25 - 30",Finance_Data[[#This Row],[age]]&gt;30, "31+",Finance_Data[[#This Row],[age]]&gt;=35,"35 - 40")</calculatedColumnFormula>
    </tableColumn>
    <tableColumn id="3" xr3:uid="{48B20425-9DB9-45EC-A708-69BC62A07C6C}" name="Investment_Avenues"/>
    <tableColumn id="4" xr3:uid="{E443994A-1F1A-4538-9028-E62EE8C2039D}" name="Mutual_Funds"/>
    <tableColumn id="5" xr3:uid="{6969118A-C1BB-4297-A447-3296FA3B4A09}" name="Equity_Market"/>
    <tableColumn id="6" xr3:uid="{8B5A7C39-655D-417B-9776-3861C6D8AECA}" name="Debentures"/>
    <tableColumn id="7" xr3:uid="{C2A0C8FE-4106-4891-AA91-C60141FA68D1}" name="Government_Bonds"/>
    <tableColumn id="8" xr3:uid="{1BC9E701-958A-4FF2-80B2-C8CF8EBE8EAD}" name="Fixed_Deposits"/>
    <tableColumn id="9" xr3:uid="{78E5D563-F30C-49B5-8F23-B1C5C0873021}" name="PPF"/>
    <tableColumn id="10" xr3:uid="{E9CBD269-3C50-4211-9535-5DC5B4C0ACD3}" name="Gold"/>
    <tableColumn id="11" xr3:uid="{6FE2DA9B-BF04-49C2-9D7D-A101C74A37C3}" name="Stock_Market"/>
    <tableColumn id="12" xr3:uid="{E562A50A-A508-4A7E-B6DB-BF2F9EA7BDC8}" name="Factor"/>
    <tableColumn id="13" xr3:uid="{464C5366-0450-488E-80A6-0DAFCEABE801}" name="Objective"/>
    <tableColumn id="14" xr3:uid="{EFF6DF34-B424-4384-B60D-CB1C11E7D3F0}" name="Purpose"/>
    <tableColumn id="15" xr3:uid="{B3E2D8B7-EDE4-4E5B-AA29-64EA3725EAEF}" name="Duration"/>
    <tableColumn id="16" xr3:uid="{F60EF7B2-CF3D-4492-9B3A-E9B68B84FA74}" name="Invest_Monitor"/>
    <tableColumn id="17" xr3:uid="{9A2410DF-6E19-446D-B2F2-EFB293445CC7}" name="Expect"/>
    <tableColumn id="18" xr3:uid="{739C7622-EB11-47DB-8C2D-274657234D52}" name="Avenue"/>
    <tableColumn id="19" xr3:uid="{45F19DE0-05C0-4CCC-A37A-381D5E246AFE}" name="What are your savings objectives?"/>
    <tableColumn id="20" xr3:uid="{56B7F704-E888-43FB-99DC-7CC0A3CD945D}" name="Reason_Equity"/>
    <tableColumn id="21" xr3:uid="{9948100F-6381-40B8-B995-D67771DF28DC}" name="Reason_Mutual"/>
    <tableColumn id="22" xr3:uid="{4BE252EC-DDE7-404C-94C7-85B73AF45B0E}" name="Reason_Bonds"/>
    <tableColumn id="23" xr3:uid="{D7A75F09-A8D8-40AC-A6F3-7FC75352ACC8}" name="Reason_FD"/>
    <tableColumn id="24" xr3:uid="{C7EE1B00-233A-46EC-AC27-68EBFF1822FA}"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F4ED-2DAD-495D-92A8-0D2E629DC1E1}">
  <sheetPr codeName="Sheet2"/>
  <dimension ref="B1:H19"/>
  <sheetViews>
    <sheetView workbookViewId="0">
      <selection activeCell="E8" sqref="E8"/>
    </sheetView>
  </sheetViews>
  <sheetFormatPr defaultRowHeight="15" x14ac:dyDescent="0.25"/>
  <cols>
    <col min="2" max="2" width="24.140625" bestFit="1" customWidth="1"/>
    <col min="3" max="3" width="24.42578125" bestFit="1" customWidth="1"/>
    <col min="4" max="4" width="21.85546875" bestFit="1" customWidth="1"/>
    <col min="5" max="5" width="22.140625" bestFit="1" customWidth="1"/>
    <col min="6" max="6" width="25" bestFit="1" customWidth="1"/>
    <col min="7" max="7" width="14.42578125" bestFit="1" customWidth="1"/>
    <col min="8" max="8" width="15.42578125" bestFit="1" customWidth="1"/>
    <col min="9" max="9" width="6.7109375" bestFit="1" customWidth="1"/>
  </cols>
  <sheetData>
    <row r="1" spans="2:8" ht="15.75" x14ac:dyDescent="0.25">
      <c r="B1" s="11" t="s">
        <v>89</v>
      </c>
      <c r="C1" s="11"/>
      <c r="D1" s="11"/>
      <c r="E1" s="11"/>
      <c r="F1" s="11"/>
      <c r="G1" s="11"/>
      <c r="H1" s="11"/>
    </row>
    <row r="2" spans="2:8" x14ac:dyDescent="0.25">
      <c r="B2" t="s">
        <v>69</v>
      </c>
      <c r="C2" t="s">
        <v>70</v>
      </c>
      <c r="D2" t="s">
        <v>71</v>
      </c>
      <c r="E2" t="s">
        <v>76</v>
      </c>
      <c r="F2" t="s">
        <v>72</v>
      </c>
      <c r="G2" t="s">
        <v>73</v>
      </c>
      <c r="H2" t="s">
        <v>74</v>
      </c>
    </row>
    <row r="3" spans="2:8" x14ac:dyDescent="0.25">
      <c r="B3" s="3">
        <v>2.5499999999999998</v>
      </c>
      <c r="C3" s="3">
        <v>3.4750000000000001</v>
      </c>
      <c r="D3" s="3">
        <v>5.75</v>
      </c>
      <c r="E3" s="3">
        <v>4.6500000000000004</v>
      </c>
      <c r="F3" s="3">
        <v>3.5750000000000002</v>
      </c>
      <c r="G3" s="3">
        <v>2.0249999999999999</v>
      </c>
      <c r="H3" s="3">
        <v>5.9749999999999996</v>
      </c>
    </row>
    <row r="7" spans="2:8" ht="15.75" x14ac:dyDescent="0.25">
      <c r="B7" s="9" t="s">
        <v>16</v>
      </c>
      <c r="C7" s="3" t="s">
        <v>101</v>
      </c>
      <c r="E7" s="10" t="s">
        <v>102</v>
      </c>
      <c r="F7" s="10" t="s">
        <v>101</v>
      </c>
    </row>
    <row r="8" spans="2:8" x14ac:dyDescent="0.25">
      <c r="B8" s="6" t="s">
        <v>3</v>
      </c>
      <c r="C8" s="3">
        <f>GETPIVOTDATA("Average of Mutual_Funds",$B$2)</f>
        <v>2.5499999999999998</v>
      </c>
      <c r="E8" t="s">
        <v>6</v>
      </c>
      <c r="F8" s="3" cm="1">
        <f t="array" ref="F8">_xlfn.XLOOKUP(E8,Avenue_Average_Ranks[[#All],[Avenue]],Avenue_Average_Ranks[[#All],[Average Rank]],"&lt;&lt; Select Avenue")</f>
        <v>4.6500000000000004</v>
      </c>
    </row>
    <row r="9" spans="2:8" x14ac:dyDescent="0.25">
      <c r="B9" s="6" t="s">
        <v>4</v>
      </c>
      <c r="C9" s="3">
        <f>GETPIVOTDATA("Average of Equity_Market",$B$2)</f>
        <v>3.4750000000000001</v>
      </c>
    </row>
    <row r="10" spans="2:8" x14ac:dyDescent="0.25">
      <c r="B10" s="6" t="s">
        <v>5</v>
      </c>
      <c r="C10" s="3">
        <f>GETPIVOTDATA("Average of Debentures",$B$2)</f>
        <v>5.75</v>
      </c>
    </row>
    <row r="11" spans="2:8" x14ac:dyDescent="0.25">
      <c r="B11" s="6" t="s">
        <v>6</v>
      </c>
      <c r="C11" s="3">
        <f>GETPIVOTDATA("Average of Govt_Bonds",$B$2)</f>
        <v>4.6500000000000004</v>
      </c>
    </row>
    <row r="12" spans="2:8" x14ac:dyDescent="0.25">
      <c r="B12" s="6" t="s">
        <v>7</v>
      </c>
      <c r="C12" s="3">
        <f>GETPIVOTDATA("Average of Fixed_Deposits",$B$2)</f>
        <v>3.5750000000000002</v>
      </c>
      <c r="F12" s="24" t="s">
        <v>101</v>
      </c>
    </row>
    <row r="13" spans="2:8" x14ac:dyDescent="0.25">
      <c r="B13" s="6" t="s">
        <v>8</v>
      </c>
      <c r="C13" s="3">
        <f>GETPIVOTDATA("Average of PPF",$B$2)</f>
        <v>2.0249999999999999</v>
      </c>
      <c r="F13">
        <v>1</v>
      </c>
    </row>
    <row r="14" spans="2:8" x14ac:dyDescent="0.25">
      <c r="B14" s="6" t="s">
        <v>9</v>
      </c>
      <c r="C14" s="3">
        <f>GETPIVOTDATA("Average of Gold",$B$2)</f>
        <v>5.9749999999999996</v>
      </c>
      <c r="F14">
        <v>2</v>
      </c>
    </row>
    <row r="15" spans="2:8" x14ac:dyDescent="0.25">
      <c r="F15">
        <v>3</v>
      </c>
    </row>
    <row r="16" spans="2:8" x14ac:dyDescent="0.25">
      <c r="F16">
        <v>4</v>
      </c>
    </row>
    <row r="17" spans="2:6" ht="15.75" x14ac:dyDescent="0.25">
      <c r="B17" s="10" t="s">
        <v>125</v>
      </c>
      <c r="D17" s="10" t="s">
        <v>127</v>
      </c>
      <c r="F17">
        <v>5</v>
      </c>
    </row>
    <row r="18" spans="2:6" x14ac:dyDescent="0.25">
      <c r="B18" t="s">
        <v>45</v>
      </c>
      <c r="D18" t="s">
        <v>24</v>
      </c>
      <c r="F18" s="3">
        <v>6</v>
      </c>
    </row>
    <row r="19" spans="2:6" x14ac:dyDescent="0.25">
      <c r="B19" t="s">
        <v>23</v>
      </c>
      <c r="D19" t="s">
        <v>37</v>
      </c>
      <c r="F19">
        <v>7</v>
      </c>
    </row>
  </sheetData>
  <sheetProtection algorithmName="SHA-512" hashValue="p05cY8fyWkPU9jAAYPHFbzLw7g10676kAwrdkZP3eGv5pEd59qnintFnvfrclpzTgzjGoAFW5VbR2mi45C1oMg==" saltValue="hR1kcjaNfYK6ue7dlv5bjQ==" spinCount="100000" sheet="1" objects="1" scenarios="1"/>
  <mergeCells count="1">
    <mergeCell ref="B1:H1"/>
  </mergeCells>
  <dataValidations count="1">
    <dataValidation type="list" allowBlank="1" showInputMessage="1" showErrorMessage="1" sqref="E8" xr:uid="{5756D419-731D-4A45-B182-962DCB0AB1BF}">
      <formula1>$B$8:$B$14</formula1>
    </dataValidation>
  </dataValidation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B5D1F-A6F9-43AF-9E80-95C97D8C92EA}">
  <sheetPr codeName="Sheet3"/>
  <dimension ref="N6:T6"/>
  <sheetViews>
    <sheetView showGridLines="0" tabSelected="1" workbookViewId="0">
      <selection activeCell="N6" sqref="N6:O6"/>
    </sheetView>
  </sheetViews>
  <sheetFormatPr defaultRowHeight="15" x14ac:dyDescent="0.25"/>
  <cols>
    <col min="16" max="16" width="9" customWidth="1"/>
  </cols>
  <sheetData>
    <row r="6" spans="14:20" x14ac:dyDescent="0.25">
      <c r="N6" s="21"/>
      <c r="O6" s="22"/>
      <c r="P6" s="23" t="str">
        <f>_xlfn.XLOOKUP(N6,'Admin Configuration'!B8:B14,'Admin Configuration'!C8:C14,"&lt;&lt;Select Avenue")</f>
        <v>&lt;&lt;Select Avenue</v>
      </c>
      <c r="Q6" s="23"/>
      <c r="R6" s="20"/>
      <c r="S6" s="20"/>
      <c r="T6" s="19"/>
    </row>
  </sheetData>
  <sheetProtection sort="0" autoFilter="0" pivotTables="0"/>
  <mergeCells count="2">
    <mergeCell ref="P6:Q6"/>
    <mergeCell ref="N6:O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0AF2343-4605-4C4A-B64D-4AD633DCC915}">
          <x14:formula1>
            <xm:f>'Admin Configuration'!$B$8:$B$14</xm:f>
          </x14:formula1>
          <xm:sqref>N6:O6</xm:sqref>
        </x14:dataValidation>
      </x14:dataValidation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E029-EC0D-4476-8336-E4A7E63D6D71}">
  <sheetPr codeName="Sheet1"/>
  <dimension ref="A1:Y41"/>
  <sheetViews>
    <sheetView zoomScale="115" workbookViewId="0">
      <selection activeCell="D15" sqref="D15"/>
    </sheetView>
  </sheetViews>
  <sheetFormatPr defaultRowHeight="15" x14ac:dyDescent="0.25"/>
  <cols>
    <col min="1" max="1" width="9.42578125" customWidth="1"/>
    <col min="2" max="2" width="6.28515625" customWidth="1"/>
    <col min="3" max="3" width="15" hidden="1" customWidth="1"/>
    <col min="4" max="4" width="22" customWidth="1"/>
    <col min="5" max="5" width="15.85546875" customWidth="1"/>
    <col min="6" max="6" width="16.140625" customWidth="1"/>
    <col min="7" max="7" width="13.5703125" customWidth="1"/>
    <col min="8" max="8" width="20.85546875" customWidth="1"/>
    <col min="9" max="9" width="16.7109375" customWidth="1"/>
    <col min="10" max="10" width="6.42578125" customWidth="1"/>
    <col min="11" max="11" width="7.42578125" customWidth="1"/>
    <col min="12" max="12" width="16" customWidth="1"/>
    <col min="13" max="13" width="14" bestFit="1" customWidth="1"/>
    <col min="14" max="14" width="19.28515625" bestFit="1" customWidth="1"/>
    <col min="15" max="15" width="17" bestFit="1" customWidth="1"/>
    <col min="16" max="16" width="16.85546875" bestFit="1" customWidth="1"/>
    <col min="17" max="17" width="16.85546875" customWidth="1"/>
    <col min="18" max="18" width="9" customWidth="1"/>
    <col min="19" max="19" width="20.7109375" bestFit="1" customWidth="1"/>
    <col min="20" max="20" width="33.140625" customWidth="1"/>
    <col min="21" max="21" width="19.28515625" bestFit="1" customWidth="1"/>
    <col min="22" max="22" width="19" bestFit="1" customWidth="1"/>
    <col min="23" max="23" width="16" customWidth="1"/>
    <col min="24" max="24" width="18" bestFit="1" customWidth="1"/>
    <col min="25" max="25" width="26" bestFit="1" customWidth="1"/>
  </cols>
  <sheetData>
    <row r="1" spans="1:25" x14ac:dyDescent="0.25">
      <c r="A1" t="s">
        <v>0</v>
      </c>
      <c r="B1" t="s">
        <v>1</v>
      </c>
      <c r="C1" t="s">
        <v>79</v>
      </c>
      <c r="D1" t="s">
        <v>2</v>
      </c>
      <c r="E1" t="s">
        <v>3</v>
      </c>
      <c r="F1" t="s">
        <v>4</v>
      </c>
      <c r="G1" t="s">
        <v>5</v>
      </c>
      <c r="H1" t="s">
        <v>6</v>
      </c>
      <c r="I1" t="s">
        <v>7</v>
      </c>
      <c r="J1" t="s">
        <v>8</v>
      </c>
      <c r="K1" t="s">
        <v>9</v>
      </c>
      <c r="L1" t="s">
        <v>100</v>
      </c>
      <c r="M1" t="s">
        <v>10</v>
      </c>
      <c r="N1" t="s">
        <v>11</v>
      </c>
      <c r="O1" t="s">
        <v>12</v>
      </c>
      <c r="P1" t="s">
        <v>13</v>
      </c>
      <c r="Q1" t="s">
        <v>14</v>
      </c>
      <c r="R1" t="s">
        <v>15</v>
      </c>
      <c r="S1" t="s">
        <v>16</v>
      </c>
      <c r="T1" t="s">
        <v>17</v>
      </c>
      <c r="U1" t="s">
        <v>18</v>
      </c>
      <c r="V1" t="s">
        <v>19</v>
      </c>
      <c r="W1" t="s">
        <v>20</v>
      </c>
      <c r="X1" t="s">
        <v>21</v>
      </c>
      <c r="Y1" t="s">
        <v>22</v>
      </c>
    </row>
    <row r="2" spans="1:25" x14ac:dyDescent="0.25">
      <c r="A2" t="s">
        <v>23</v>
      </c>
      <c r="B2">
        <v>34</v>
      </c>
      <c r="C2" t="str" cm="1">
        <f t="array" ref="C2">_xlfn.IFS(Finance_Data[[#This Row],[age]]&lt;25, "Under 25", Finance_Data[[#This Row],[age]]&lt;=30, "25 - 30",Finance_Data[[#This Row],[age]]&gt;30, "31+",Finance_Data[[#This Row],[age]]&gt;=35,"35 - 40")</f>
        <v>31+</v>
      </c>
      <c r="D2" t="s">
        <v>24</v>
      </c>
      <c r="E2">
        <v>1</v>
      </c>
      <c r="F2">
        <v>2</v>
      </c>
      <c r="G2">
        <v>5</v>
      </c>
      <c r="H2">
        <v>3</v>
      </c>
      <c r="I2">
        <v>7</v>
      </c>
      <c r="J2">
        <v>6</v>
      </c>
      <c r="K2">
        <v>4</v>
      </c>
      <c r="L2" t="s">
        <v>24</v>
      </c>
      <c r="M2" t="s">
        <v>25</v>
      </c>
      <c r="N2" t="s">
        <v>26</v>
      </c>
      <c r="O2" t="s">
        <v>27</v>
      </c>
      <c r="P2" t="s">
        <v>28</v>
      </c>
      <c r="Q2" t="s">
        <v>29</v>
      </c>
      <c r="R2" t="s">
        <v>30</v>
      </c>
      <c r="S2" t="s">
        <v>31</v>
      </c>
      <c r="T2" t="s">
        <v>32</v>
      </c>
      <c r="U2" t="s">
        <v>26</v>
      </c>
      <c r="V2" t="s">
        <v>33</v>
      </c>
      <c r="W2" t="s">
        <v>34</v>
      </c>
      <c r="X2" t="s">
        <v>35</v>
      </c>
      <c r="Y2" t="s">
        <v>36</v>
      </c>
    </row>
    <row r="3" spans="1:25" x14ac:dyDescent="0.25">
      <c r="A3" t="s">
        <v>23</v>
      </c>
      <c r="B3">
        <v>23</v>
      </c>
      <c r="C3" t="str" cm="1">
        <f t="array" ref="C3">_xlfn.IFS(Finance_Data[[#This Row],[age]]&lt;25, "Under 25", Finance_Data[[#This Row],[age]]&lt;=30, "25 - 30",Finance_Data[[#This Row],[age]]&gt;30, "31+",Finance_Data[[#This Row],[age]]&gt;=35,"35 - 40")</f>
        <v>Under 25</v>
      </c>
      <c r="D3" t="s">
        <v>24</v>
      </c>
      <c r="E3">
        <v>4</v>
      </c>
      <c r="F3">
        <v>3</v>
      </c>
      <c r="G3">
        <v>2</v>
      </c>
      <c r="H3">
        <v>1</v>
      </c>
      <c r="I3">
        <v>5</v>
      </c>
      <c r="J3">
        <v>6</v>
      </c>
      <c r="K3">
        <v>7</v>
      </c>
      <c r="L3" t="s">
        <v>126</v>
      </c>
      <c r="M3" t="s">
        <v>38</v>
      </c>
      <c r="N3" t="s">
        <v>26</v>
      </c>
      <c r="O3" t="s">
        <v>27</v>
      </c>
      <c r="P3" t="s">
        <v>39</v>
      </c>
      <c r="Q3" t="s">
        <v>40</v>
      </c>
      <c r="R3" t="s">
        <v>30</v>
      </c>
      <c r="S3" t="s">
        <v>31</v>
      </c>
      <c r="T3" t="s">
        <v>41</v>
      </c>
      <c r="U3" t="s">
        <v>42</v>
      </c>
      <c r="V3" t="s">
        <v>33</v>
      </c>
      <c r="W3" t="s">
        <v>34</v>
      </c>
      <c r="X3" t="s">
        <v>43</v>
      </c>
      <c r="Y3" t="s">
        <v>44</v>
      </c>
    </row>
    <row r="4" spans="1:25" x14ac:dyDescent="0.25">
      <c r="A4" t="s">
        <v>45</v>
      </c>
      <c r="B4">
        <v>30</v>
      </c>
      <c r="C4" t="str" cm="1">
        <f t="array" ref="C4">_xlfn.IFS(Finance_Data[[#This Row],[age]]&lt;25, "Under 25", Finance_Data[[#This Row],[age]]&lt;=30, "25 - 30",Finance_Data[[#This Row],[age]]&gt;30, "31+",Finance_Data[[#This Row],[age]]&gt;=35,"35 - 40")</f>
        <v>25 - 30</v>
      </c>
      <c r="D4" t="s">
        <v>24</v>
      </c>
      <c r="E4">
        <v>3</v>
      </c>
      <c r="F4">
        <v>6</v>
      </c>
      <c r="G4">
        <v>4</v>
      </c>
      <c r="H4">
        <v>2</v>
      </c>
      <c r="I4">
        <v>5</v>
      </c>
      <c r="J4">
        <v>1</v>
      </c>
      <c r="K4">
        <v>7</v>
      </c>
      <c r="L4" t="s">
        <v>24</v>
      </c>
      <c r="M4" t="s">
        <v>25</v>
      </c>
      <c r="N4" t="s">
        <v>26</v>
      </c>
      <c r="O4" t="s">
        <v>27</v>
      </c>
      <c r="P4" t="s">
        <v>46</v>
      </c>
      <c r="Q4" t="s">
        <v>47</v>
      </c>
      <c r="R4" t="s">
        <v>30</v>
      </c>
      <c r="S4" t="s">
        <v>48</v>
      </c>
      <c r="T4" t="s">
        <v>32</v>
      </c>
      <c r="U4" t="s">
        <v>26</v>
      </c>
      <c r="V4" t="s">
        <v>49</v>
      </c>
      <c r="W4" t="s">
        <v>50</v>
      </c>
      <c r="X4" t="s">
        <v>35</v>
      </c>
      <c r="Y4" t="s">
        <v>51</v>
      </c>
    </row>
    <row r="5" spans="1:25" x14ac:dyDescent="0.25">
      <c r="A5" t="s">
        <v>45</v>
      </c>
      <c r="B5">
        <v>22</v>
      </c>
      <c r="C5" t="str" cm="1">
        <f t="array" ref="C5">_xlfn.IFS(Finance_Data[[#This Row],[age]]&lt;25, "Under 25", Finance_Data[[#This Row],[age]]&lt;=30, "25 - 30",Finance_Data[[#This Row],[age]]&gt;30, "31+",Finance_Data[[#This Row],[age]]&gt;=35,"35 - 40")</f>
        <v>Under 25</v>
      </c>
      <c r="D5" t="s">
        <v>24</v>
      </c>
      <c r="E5">
        <v>2</v>
      </c>
      <c r="F5">
        <v>1</v>
      </c>
      <c r="G5">
        <v>3</v>
      </c>
      <c r="H5">
        <v>7</v>
      </c>
      <c r="I5">
        <v>6</v>
      </c>
      <c r="J5">
        <v>4</v>
      </c>
      <c r="K5">
        <v>5</v>
      </c>
      <c r="L5" t="s">
        <v>24</v>
      </c>
      <c r="M5" t="s">
        <v>25</v>
      </c>
      <c r="N5" t="s">
        <v>52</v>
      </c>
      <c r="O5" t="s">
        <v>27</v>
      </c>
      <c r="P5" t="s">
        <v>53</v>
      </c>
      <c r="Q5" t="s">
        <v>47</v>
      </c>
      <c r="R5" t="s">
        <v>54</v>
      </c>
      <c r="S5" t="s">
        <v>48</v>
      </c>
      <c r="T5" t="s">
        <v>32</v>
      </c>
      <c r="U5" t="s">
        <v>42</v>
      </c>
      <c r="V5" t="s">
        <v>55</v>
      </c>
      <c r="W5" t="s">
        <v>56</v>
      </c>
      <c r="X5" t="s">
        <v>43</v>
      </c>
      <c r="Y5" t="s">
        <v>57</v>
      </c>
    </row>
    <row r="6" spans="1:25" x14ac:dyDescent="0.25">
      <c r="A6" t="s">
        <v>23</v>
      </c>
      <c r="B6">
        <v>24</v>
      </c>
      <c r="C6" t="str" cm="1">
        <f t="array" ref="C6">_xlfn.IFS(Finance_Data[[#This Row],[age]]&lt;25, "Under 25", Finance_Data[[#This Row],[age]]&lt;=30, "25 - 30",Finance_Data[[#This Row],[age]]&gt;30, "31+",Finance_Data[[#This Row],[age]]&gt;=35,"35 - 40")</f>
        <v>Under 25</v>
      </c>
      <c r="D6" t="s">
        <v>37</v>
      </c>
      <c r="E6">
        <v>2</v>
      </c>
      <c r="F6">
        <v>1</v>
      </c>
      <c r="G6">
        <v>3</v>
      </c>
      <c r="H6">
        <v>6</v>
      </c>
      <c r="I6">
        <v>4</v>
      </c>
      <c r="J6">
        <v>5</v>
      </c>
      <c r="K6">
        <v>7</v>
      </c>
      <c r="L6" t="s">
        <v>37</v>
      </c>
      <c r="M6" t="s">
        <v>25</v>
      </c>
      <c r="N6" t="s">
        <v>52</v>
      </c>
      <c r="O6" t="s">
        <v>27</v>
      </c>
      <c r="P6" t="s">
        <v>53</v>
      </c>
      <c r="Q6" t="s">
        <v>47</v>
      </c>
      <c r="R6" t="s">
        <v>30</v>
      </c>
      <c r="S6" t="s">
        <v>48</v>
      </c>
      <c r="T6" t="s">
        <v>32</v>
      </c>
      <c r="U6" t="s">
        <v>26</v>
      </c>
      <c r="V6" t="s">
        <v>33</v>
      </c>
      <c r="W6" t="s">
        <v>34</v>
      </c>
      <c r="X6" t="s">
        <v>58</v>
      </c>
      <c r="Y6" t="s">
        <v>57</v>
      </c>
    </row>
    <row r="7" spans="1:25" x14ac:dyDescent="0.25">
      <c r="A7" t="s">
        <v>23</v>
      </c>
      <c r="B7">
        <v>24</v>
      </c>
      <c r="C7" t="str" cm="1">
        <f t="array" ref="C7">_xlfn.IFS(Finance_Data[[#This Row],[age]]&lt;25, "Under 25", Finance_Data[[#This Row],[age]]&lt;=30, "25 - 30",Finance_Data[[#This Row],[age]]&gt;30, "31+",Finance_Data[[#This Row],[age]]&gt;=35,"35 - 40")</f>
        <v>Under 25</v>
      </c>
      <c r="D7" t="s">
        <v>37</v>
      </c>
      <c r="E7">
        <v>7</v>
      </c>
      <c r="F7">
        <v>5</v>
      </c>
      <c r="G7">
        <v>4</v>
      </c>
      <c r="H7">
        <v>6</v>
      </c>
      <c r="I7">
        <v>3</v>
      </c>
      <c r="J7">
        <v>1</v>
      </c>
      <c r="K7">
        <v>2</v>
      </c>
      <c r="L7" t="s">
        <v>37</v>
      </c>
      <c r="M7" t="s">
        <v>59</v>
      </c>
      <c r="N7" t="s">
        <v>26</v>
      </c>
      <c r="O7" t="s">
        <v>27</v>
      </c>
      <c r="P7" t="s">
        <v>28</v>
      </c>
      <c r="Q7" t="s">
        <v>47</v>
      </c>
      <c r="R7" t="s">
        <v>60</v>
      </c>
      <c r="S7" t="s">
        <v>31</v>
      </c>
      <c r="T7" t="s">
        <v>32</v>
      </c>
      <c r="U7" t="s">
        <v>61</v>
      </c>
      <c r="V7" t="s">
        <v>55</v>
      </c>
      <c r="W7" t="s">
        <v>34</v>
      </c>
      <c r="X7" t="s">
        <v>58</v>
      </c>
      <c r="Y7" t="s">
        <v>57</v>
      </c>
    </row>
    <row r="8" spans="1:25" x14ac:dyDescent="0.25">
      <c r="A8" t="s">
        <v>23</v>
      </c>
      <c r="B8">
        <v>27</v>
      </c>
      <c r="C8" t="str" cm="1">
        <f t="array" ref="C8">_xlfn.IFS(Finance_Data[[#This Row],[age]]&lt;25, "Under 25", Finance_Data[[#This Row],[age]]&lt;=30, "25 - 30",Finance_Data[[#This Row],[age]]&gt;30, "31+",Finance_Data[[#This Row],[age]]&gt;=35,"35 - 40")</f>
        <v>25 - 30</v>
      </c>
      <c r="D8" t="s">
        <v>24</v>
      </c>
      <c r="E8">
        <v>3</v>
      </c>
      <c r="F8">
        <v>6</v>
      </c>
      <c r="G8">
        <v>4</v>
      </c>
      <c r="H8">
        <v>2</v>
      </c>
      <c r="I8">
        <v>5</v>
      </c>
      <c r="J8">
        <v>1</v>
      </c>
      <c r="K8">
        <v>7</v>
      </c>
      <c r="L8" t="s">
        <v>24</v>
      </c>
      <c r="M8" t="s">
        <v>25</v>
      </c>
      <c r="N8" t="s">
        <v>26</v>
      </c>
      <c r="O8" t="s">
        <v>27</v>
      </c>
      <c r="P8" t="s">
        <v>46</v>
      </c>
      <c r="Q8" t="s">
        <v>29</v>
      </c>
      <c r="R8" t="s">
        <v>30</v>
      </c>
      <c r="S8" t="s">
        <v>48</v>
      </c>
      <c r="T8" t="s">
        <v>32</v>
      </c>
      <c r="U8" t="s">
        <v>26</v>
      </c>
      <c r="V8" t="s">
        <v>33</v>
      </c>
      <c r="W8" t="s">
        <v>50</v>
      </c>
      <c r="X8" t="s">
        <v>43</v>
      </c>
      <c r="Y8" t="s">
        <v>44</v>
      </c>
    </row>
    <row r="9" spans="1:25" x14ac:dyDescent="0.25">
      <c r="A9" t="s">
        <v>45</v>
      </c>
      <c r="B9">
        <v>21</v>
      </c>
      <c r="C9" t="str" cm="1">
        <f t="array" ref="C9">_xlfn.IFS(Finance_Data[[#This Row],[age]]&lt;25, "Under 25", Finance_Data[[#This Row],[age]]&lt;=30, "25 - 30",Finance_Data[[#This Row],[age]]&gt;30, "31+",Finance_Data[[#This Row],[age]]&gt;=35,"35 - 40")</f>
        <v>Under 25</v>
      </c>
      <c r="D9" t="s">
        <v>24</v>
      </c>
      <c r="E9">
        <v>2</v>
      </c>
      <c r="F9">
        <v>3</v>
      </c>
      <c r="G9">
        <v>7</v>
      </c>
      <c r="H9">
        <v>4</v>
      </c>
      <c r="I9">
        <v>6</v>
      </c>
      <c r="J9">
        <v>1</v>
      </c>
      <c r="K9">
        <v>5</v>
      </c>
      <c r="L9" t="s">
        <v>24</v>
      </c>
      <c r="M9" t="s">
        <v>59</v>
      </c>
      <c r="N9" t="s">
        <v>26</v>
      </c>
      <c r="O9" t="s">
        <v>27</v>
      </c>
      <c r="P9" t="s">
        <v>46</v>
      </c>
      <c r="Q9" t="s">
        <v>29</v>
      </c>
      <c r="R9" t="s">
        <v>30</v>
      </c>
      <c r="S9" t="s">
        <v>31</v>
      </c>
      <c r="T9" t="s">
        <v>32</v>
      </c>
      <c r="U9" t="s">
        <v>26</v>
      </c>
      <c r="V9" t="s">
        <v>33</v>
      </c>
      <c r="W9" t="s">
        <v>50</v>
      </c>
      <c r="X9" t="s">
        <v>58</v>
      </c>
      <c r="Y9" t="s">
        <v>36</v>
      </c>
    </row>
    <row r="10" spans="1:25" x14ac:dyDescent="0.25">
      <c r="A10" t="s">
        <v>45</v>
      </c>
      <c r="B10">
        <v>35</v>
      </c>
      <c r="C10" t="str" cm="1">
        <f t="array" ref="C10">_xlfn.IFS(Finance_Data[[#This Row],[age]]&lt;25, "Under 25", Finance_Data[[#This Row],[age]]&lt;=30, "25 - 30",Finance_Data[[#This Row],[age]]&gt;30, "31+",Finance_Data[[#This Row],[age]]&gt;=35,"35 - 40")</f>
        <v>31+</v>
      </c>
      <c r="D10" t="s">
        <v>24</v>
      </c>
      <c r="E10">
        <v>2</v>
      </c>
      <c r="F10">
        <v>4</v>
      </c>
      <c r="G10">
        <v>7</v>
      </c>
      <c r="H10">
        <v>5</v>
      </c>
      <c r="I10">
        <v>3</v>
      </c>
      <c r="J10">
        <v>1</v>
      </c>
      <c r="K10">
        <v>6</v>
      </c>
      <c r="L10" t="s">
        <v>24</v>
      </c>
      <c r="M10" t="s">
        <v>25</v>
      </c>
      <c r="N10" t="s">
        <v>62</v>
      </c>
      <c r="O10" t="s">
        <v>63</v>
      </c>
      <c r="P10" t="s">
        <v>28</v>
      </c>
      <c r="Q10" t="s">
        <v>40</v>
      </c>
      <c r="R10" t="s">
        <v>30</v>
      </c>
      <c r="S10" t="s">
        <v>48</v>
      </c>
      <c r="T10" t="s">
        <v>32</v>
      </c>
      <c r="U10" t="s">
        <v>26</v>
      </c>
      <c r="V10" t="s">
        <v>55</v>
      </c>
      <c r="W10" t="s">
        <v>34</v>
      </c>
      <c r="X10" t="s">
        <v>35</v>
      </c>
      <c r="Y10" t="s">
        <v>51</v>
      </c>
    </row>
    <row r="11" spans="1:25" x14ac:dyDescent="0.25">
      <c r="A11" t="s">
        <v>45</v>
      </c>
      <c r="B11">
        <v>31</v>
      </c>
      <c r="C11" t="str" cm="1">
        <f t="array" ref="C11">_xlfn.IFS(Finance_Data[[#This Row],[age]]&lt;25, "Under 25", Finance_Data[[#This Row],[age]]&lt;=30, "25 - 30",Finance_Data[[#This Row],[age]]&gt;30, "31+",Finance_Data[[#This Row],[age]]&gt;=35,"35 - 40")</f>
        <v>31+</v>
      </c>
      <c r="D11" t="s">
        <v>24</v>
      </c>
      <c r="E11">
        <v>1</v>
      </c>
      <c r="F11">
        <v>3</v>
      </c>
      <c r="G11">
        <v>7</v>
      </c>
      <c r="H11">
        <v>4</v>
      </c>
      <c r="I11">
        <v>5</v>
      </c>
      <c r="J11">
        <v>2</v>
      </c>
      <c r="K11">
        <v>6</v>
      </c>
      <c r="L11" t="s">
        <v>24</v>
      </c>
      <c r="M11" t="s">
        <v>25</v>
      </c>
      <c r="N11" t="s">
        <v>26</v>
      </c>
      <c r="O11" t="s">
        <v>27</v>
      </c>
      <c r="P11" t="s">
        <v>46</v>
      </c>
      <c r="Q11" t="s">
        <v>29</v>
      </c>
      <c r="R11" t="s">
        <v>60</v>
      </c>
      <c r="S11" t="s">
        <v>64</v>
      </c>
      <c r="T11" t="s">
        <v>32</v>
      </c>
      <c r="U11" t="s">
        <v>26</v>
      </c>
      <c r="V11" t="s">
        <v>55</v>
      </c>
      <c r="W11" t="s">
        <v>50</v>
      </c>
      <c r="X11" t="s">
        <v>35</v>
      </c>
      <c r="Y11" t="s">
        <v>36</v>
      </c>
    </row>
    <row r="12" spans="1:25" x14ac:dyDescent="0.25">
      <c r="A12" t="s">
        <v>23</v>
      </c>
      <c r="B12">
        <v>35</v>
      </c>
      <c r="C12" t="str" cm="1">
        <f t="array" ref="C12">_xlfn.IFS(Finance_Data[[#This Row],[age]]&lt;25, "Under 25", Finance_Data[[#This Row],[age]]&lt;=30, "25 - 30",Finance_Data[[#This Row],[age]]&gt;30, "31+",Finance_Data[[#This Row],[age]]&gt;=35,"35 - 40")</f>
        <v>31+</v>
      </c>
      <c r="D12" t="s">
        <v>24</v>
      </c>
      <c r="E12">
        <v>2</v>
      </c>
      <c r="F12">
        <v>4</v>
      </c>
      <c r="G12">
        <v>7</v>
      </c>
      <c r="H12">
        <v>5</v>
      </c>
      <c r="I12">
        <v>3</v>
      </c>
      <c r="J12">
        <v>1</v>
      </c>
      <c r="K12">
        <v>6</v>
      </c>
      <c r="L12" t="s">
        <v>24</v>
      </c>
      <c r="M12" t="s">
        <v>59</v>
      </c>
      <c r="N12" t="s">
        <v>62</v>
      </c>
      <c r="O12" t="s">
        <v>63</v>
      </c>
      <c r="P12" t="s">
        <v>46</v>
      </c>
      <c r="Q12" t="s">
        <v>29</v>
      </c>
      <c r="R12" t="s">
        <v>30</v>
      </c>
      <c r="S12" t="s">
        <v>31</v>
      </c>
      <c r="T12" t="s">
        <v>32</v>
      </c>
      <c r="U12" t="s">
        <v>26</v>
      </c>
      <c r="V12" t="s">
        <v>33</v>
      </c>
      <c r="W12" t="s">
        <v>50</v>
      </c>
      <c r="X12" t="s">
        <v>58</v>
      </c>
      <c r="Y12" t="s">
        <v>44</v>
      </c>
    </row>
    <row r="13" spans="1:25" x14ac:dyDescent="0.25">
      <c r="A13" t="s">
        <v>45</v>
      </c>
      <c r="B13">
        <v>29</v>
      </c>
      <c r="C13" t="str" cm="1">
        <f t="array" ref="C13">_xlfn.IFS(Finance_Data[[#This Row],[age]]&lt;25, "Under 25", Finance_Data[[#This Row],[age]]&lt;=30, "25 - 30",Finance_Data[[#This Row],[age]]&gt;30, "31+",Finance_Data[[#This Row],[age]]&gt;=35,"35 - 40")</f>
        <v>25 - 30</v>
      </c>
      <c r="D13" t="s">
        <v>24</v>
      </c>
      <c r="E13">
        <v>2</v>
      </c>
      <c r="F13">
        <v>5</v>
      </c>
      <c r="G13">
        <v>7</v>
      </c>
      <c r="H13">
        <v>6</v>
      </c>
      <c r="I13">
        <v>3</v>
      </c>
      <c r="J13">
        <v>1</v>
      </c>
      <c r="K13">
        <v>4</v>
      </c>
      <c r="L13" t="s">
        <v>24</v>
      </c>
      <c r="M13" t="s">
        <v>59</v>
      </c>
      <c r="N13" t="s">
        <v>26</v>
      </c>
      <c r="O13" t="s">
        <v>27</v>
      </c>
      <c r="P13" t="s">
        <v>28</v>
      </c>
      <c r="Q13" t="s">
        <v>29</v>
      </c>
      <c r="R13" t="s">
        <v>30</v>
      </c>
      <c r="S13" t="s">
        <v>31</v>
      </c>
      <c r="T13" t="s">
        <v>32</v>
      </c>
      <c r="U13" t="s">
        <v>26</v>
      </c>
      <c r="V13" t="s">
        <v>55</v>
      </c>
      <c r="W13" t="s">
        <v>50</v>
      </c>
      <c r="X13" t="s">
        <v>35</v>
      </c>
      <c r="Y13" t="s">
        <v>44</v>
      </c>
    </row>
    <row r="14" spans="1:25" x14ac:dyDescent="0.25">
      <c r="A14" t="s">
        <v>23</v>
      </c>
      <c r="B14">
        <v>21</v>
      </c>
      <c r="C14" t="str" cm="1">
        <f t="array" ref="C14">_xlfn.IFS(Finance_Data[[#This Row],[age]]&lt;25, "Under 25", Finance_Data[[#This Row],[age]]&lt;=30, "25 - 30",Finance_Data[[#This Row],[age]]&gt;30, "31+",Finance_Data[[#This Row],[age]]&gt;=35,"35 - 40")</f>
        <v>Under 25</v>
      </c>
      <c r="D14" t="s">
        <v>37</v>
      </c>
      <c r="E14">
        <v>1</v>
      </c>
      <c r="F14">
        <v>2</v>
      </c>
      <c r="G14">
        <v>3</v>
      </c>
      <c r="H14">
        <v>4</v>
      </c>
      <c r="I14">
        <v>5</v>
      </c>
      <c r="J14">
        <v>6</v>
      </c>
      <c r="K14">
        <v>7</v>
      </c>
      <c r="L14" t="s">
        <v>37</v>
      </c>
      <c r="M14" t="s">
        <v>25</v>
      </c>
      <c r="N14" t="s">
        <v>26</v>
      </c>
      <c r="O14" t="s">
        <v>63</v>
      </c>
      <c r="P14" t="s">
        <v>28</v>
      </c>
      <c r="Q14" t="s">
        <v>40</v>
      </c>
      <c r="R14" t="s">
        <v>30</v>
      </c>
      <c r="S14" t="s">
        <v>31</v>
      </c>
      <c r="T14" t="s">
        <v>65</v>
      </c>
      <c r="U14" t="s">
        <v>42</v>
      </c>
      <c r="V14" t="s">
        <v>33</v>
      </c>
      <c r="W14" t="s">
        <v>34</v>
      </c>
      <c r="X14" t="s">
        <v>58</v>
      </c>
      <c r="Y14" t="s">
        <v>57</v>
      </c>
    </row>
    <row r="15" spans="1:25" x14ac:dyDescent="0.25">
      <c r="A15" t="s">
        <v>23</v>
      </c>
      <c r="B15">
        <v>28</v>
      </c>
      <c r="C15" t="str" cm="1">
        <f t="array" ref="C15">_xlfn.IFS(Finance_Data[[#This Row],[age]]&lt;25, "Under 25", Finance_Data[[#This Row],[age]]&lt;=30, "25 - 30",Finance_Data[[#This Row],[age]]&gt;30, "31+",Finance_Data[[#This Row],[age]]&gt;=35,"35 - 40")</f>
        <v>25 - 30</v>
      </c>
      <c r="D15" t="s">
        <v>24</v>
      </c>
      <c r="E15">
        <v>2</v>
      </c>
      <c r="F15">
        <v>3</v>
      </c>
      <c r="G15">
        <v>7</v>
      </c>
      <c r="H15">
        <v>4</v>
      </c>
      <c r="I15">
        <v>5</v>
      </c>
      <c r="J15">
        <v>1</v>
      </c>
      <c r="K15">
        <v>6</v>
      </c>
      <c r="L15" t="s">
        <v>24</v>
      </c>
      <c r="M15" t="s">
        <v>25</v>
      </c>
      <c r="N15" t="s">
        <v>26</v>
      </c>
      <c r="O15" t="s">
        <v>27</v>
      </c>
      <c r="P15" t="s">
        <v>28</v>
      </c>
      <c r="Q15" t="s">
        <v>29</v>
      </c>
      <c r="R15" t="s">
        <v>30</v>
      </c>
      <c r="S15" t="s">
        <v>31</v>
      </c>
      <c r="T15" t="s">
        <v>32</v>
      </c>
      <c r="U15" t="s">
        <v>26</v>
      </c>
      <c r="V15" t="s">
        <v>55</v>
      </c>
      <c r="W15" t="s">
        <v>50</v>
      </c>
      <c r="X15" t="s">
        <v>58</v>
      </c>
      <c r="Y15" t="s">
        <v>36</v>
      </c>
    </row>
    <row r="16" spans="1:25" x14ac:dyDescent="0.25">
      <c r="A16" t="s">
        <v>23</v>
      </c>
      <c r="B16">
        <v>25</v>
      </c>
      <c r="C16" t="str" cm="1">
        <f t="array" ref="C16">_xlfn.IFS(Finance_Data[[#This Row],[age]]&lt;25, "Under 25", Finance_Data[[#This Row],[age]]&lt;=30, "25 - 30",Finance_Data[[#This Row],[age]]&gt;30, "31+",Finance_Data[[#This Row],[age]]&gt;=35,"35 - 40")</f>
        <v>25 - 30</v>
      </c>
      <c r="D16" t="s">
        <v>24</v>
      </c>
      <c r="E16">
        <v>2</v>
      </c>
      <c r="F16">
        <v>3</v>
      </c>
      <c r="G16">
        <v>7</v>
      </c>
      <c r="H16">
        <v>5</v>
      </c>
      <c r="I16">
        <v>4</v>
      </c>
      <c r="J16">
        <v>1</v>
      </c>
      <c r="K16">
        <v>6</v>
      </c>
      <c r="L16" t="s">
        <v>24</v>
      </c>
      <c r="M16" t="s">
        <v>25</v>
      </c>
      <c r="N16" t="s">
        <v>26</v>
      </c>
      <c r="O16" t="s">
        <v>27</v>
      </c>
      <c r="P16" t="s">
        <v>28</v>
      </c>
      <c r="Q16" t="s">
        <v>29</v>
      </c>
      <c r="R16" t="s">
        <v>30</v>
      </c>
      <c r="S16" t="s">
        <v>64</v>
      </c>
      <c r="T16" t="s">
        <v>41</v>
      </c>
      <c r="U16" t="s">
        <v>42</v>
      </c>
      <c r="V16" t="s">
        <v>33</v>
      </c>
      <c r="W16" t="s">
        <v>50</v>
      </c>
      <c r="X16" t="s">
        <v>58</v>
      </c>
      <c r="Y16" t="s">
        <v>44</v>
      </c>
    </row>
    <row r="17" spans="1:25" x14ac:dyDescent="0.25">
      <c r="A17" t="s">
        <v>45</v>
      </c>
      <c r="B17">
        <v>27</v>
      </c>
      <c r="C17" t="str" cm="1">
        <f t="array" ref="C17">_xlfn.IFS(Finance_Data[[#This Row],[age]]&lt;25, "Under 25", Finance_Data[[#This Row],[age]]&lt;=30, "25 - 30",Finance_Data[[#This Row],[age]]&gt;30, "31+",Finance_Data[[#This Row],[age]]&gt;=35,"35 - 40")</f>
        <v>25 - 30</v>
      </c>
      <c r="D17" t="s">
        <v>24</v>
      </c>
      <c r="E17">
        <v>2</v>
      </c>
      <c r="F17">
        <v>3</v>
      </c>
      <c r="G17">
        <v>7</v>
      </c>
      <c r="H17">
        <v>5</v>
      </c>
      <c r="I17">
        <v>4</v>
      </c>
      <c r="J17">
        <v>1</v>
      </c>
      <c r="K17">
        <v>6</v>
      </c>
      <c r="L17" t="s">
        <v>24</v>
      </c>
      <c r="M17" t="s">
        <v>25</v>
      </c>
      <c r="N17" t="s">
        <v>26</v>
      </c>
      <c r="O17" t="s">
        <v>27</v>
      </c>
      <c r="P17" t="s">
        <v>28</v>
      </c>
      <c r="Q17" t="s">
        <v>29</v>
      </c>
      <c r="R17" t="s">
        <v>30</v>
      </c>
      <c r="S17" t="s">
        <v>31</v>
      </c>
      <c r="T17" t="s">
        <v>41</v>
      </c>
      <c r="U17" t="s">
        <v>26</v>
      </c>
      <c r="V17" t="s">
        <v>55</v>
      </c>
      <c r="W17" t="s">
        <v>50</v>
      </c>
      <c r="X17" t="s">
        <v>58</v>
      </c>
      <c r="Y17" t="s">
        <v>36</v>
      </c>
    </row>
    <row r="18" spans="1:25" x14ac:dyDescent="0.25">
      <c r="A18" t="s">
        <v>23</v>
      </c>
      <c r="B18">
        <v>28</v>
      </c>
      <c r="C18" t="str" cm="1">
        <f t="array" ref="C18">_xlfn.IFS(Finance_Data[[#This Row],[age]]&lt;25, "Under 25", Finance_Data[[#This Row],[age]]&lt;=30, "25 - 30",Finance_Data[[#This Row],[age]]&gt;30, "31+",Finance_Data[[#This Row],[age]]&gt;=35,"35 - 40")</f>
        <v>25 - 30</v>
      </c>
      <c r="D18" t="s">
        <v>24</v>
      </c>
      <c r="E18">
        <v>3</v>
      </c>
      <c r="F18">
        <v>2</v>
      </c>
      <c r="G18">
        <v>7</v>
      </c>
      <c r="H18">
        <v>5</v>
      </c>
      <c r="I18">
        <v>4</v>
      </c>
      <c r="J18">
        <v>1</v>
      </c>
      <c r="K18">
        <v>6</v>
      </c>
      <c r="L18" t="s">
        <v>24</v>
      </c>
      <c r="M18" t="s">
        <v>59</v>
      </c>
      <c r="N18" t="s">
        <v>62</v>
      </c>
      <c r="O18" t="s">
        <v>27</v>
      </c>
      <c r="P18" t="s">
        <v>28</v>
      </c>
      <c r="Q18" t="s">
        <v>29</v>
      </c>
      <c r="R18" t="s">
        <v>30</v>
      </c>
      <c r="S18" t="s">
        <v>64</v>
      </c>
      <c r="T18" t="s">
        <v>41</v>
      </c>
      <c r="U18" t="s">
        <v>26</v>
      </c>
      <c r="V18" t="s">
        <v>55</v>
      </c>
      <c r="W18" t="s">
        <v>50</v>
      </c>
      <c r="X18" t="s">
        <v>58</v>
      </c>
      <c r="Y18" t="s">
        <v>51</v>
      </c>
    </row>
    <row r="19" spans="1:25" x14ac:dyDescent="0.25">
      <c r="A19" t="s">
        <v>45</v>
      </c>
      <c r="B19">
        <v>27</v>
      </c>
      <c r="C19" t="str" cm="1">
        <f t="array" ref="C19">_xlfn.IFS(Finance_Data[[#This Row],[age]]&lt;25, "Under 25", Finance_Data[[#This Row],[age]]&lt;=30, "25 - 30",Finance_Data[[#This Row],[age]]&gt;30, "31+",Finance_Data[[#This Row],[age]]&gt;=35,"35 - 40")</f>
        <v>25 - 30</v>
      </c>
      <c r="D19" t="s">
        <v>24</v>
      </c>
      <c r="E19">
        <v>3</v>
      </c>
      <c r="F19">
        <v>2</v>
      </c>
      <c r="G19">
        <v>7</v>
      </c>
      <c r="H19">
        <v>4</v>
      </c>
      <c r="I19">
        <v>5</v>
      </c>
      <c r="J19">
        <v>1</v>
      </c>
      <c r="K19">
        <v>6</v>
      </c>
      <c r="L19" t="s">
        <v>24</v>
      </c>
      <c r="M19" t="s">
        <v>25</v>
      </c>
      <c r="N19" t="s">
        <v>26</v>
      </c>
      <c r="O19" t="s">
        <v>27</v>
      </c>
      <c r="P19" t="s">
        <v>28</v>
      </c>
      <c r="Q19" t="s">
        <v>29</v>
      </c>
      <c r="R19" t="s">
        <v>30</v>
      </c>
      <c r="S19" t="s">
        <v>31</v>
      </c>
      <c r="T19" t="s">
        <v>32</v>
      </c>
      <c r="U19" t="s">
        <v>26</v>
      </c>
      <c r="V19" t="s">
        <v>33</v>
      </c>
      <c r="W19" t="s">
        <v>50</v>
      </c>
      <c r="X19" t="s">
        <v>58</v>
      </c>
      <c r="Y19" t="s">
        <v>44</v>
      </c>
    </row>
    <row r="20" spans="1:25" x14ac:dyDescent="0.25">
      <c r="A20" t="s">
        <v>45</v>
      </c>
      <c r="B20">
        <v>29</v>
      </c>
      <c r="C20" t="str" cm="1">
        <f t="array" ref="C20">_xlfn.IFS(Finance_Data[[#This Row],[age]]&lt;25, "Under 25", Finance_Data[[#This Row],[age]]&lt;=30, "25 - 30",Finance_Data[[#This Row],[age]]&gt;30, "31+",Finance_Data[[#This Row],[age]]&gt;=35,"35 - 40")</f>
        <v>25 - 30</v>
      </c>
      <c r="D20" t="s">
        <v>24</v>
      </c>
      <c r="E20">
        <v>3</v>
      </c>
      <c r="F20">
        <v>2</v>
      </c>
      <c r="G20">
        <v>7</v>
      </c>
      <c r="H20">
        <v>4</v>
      </c>
      <c r="I20">
        <v>5</v>
      </c>
      <c r="J20">
        <v>1</v>
      </c>
      <c r="K20">
        <v>6</v>
      </c>
      <c r="L20" t="s">
        <v>24</v>
      </c>
      <c r="M20" t="s">
        <v>59</v>
      </c>
      <c r="N20" t="s">
        <v>26</v>
      </c>
      <c r="O20" t="s">
        <v>27</v>
      </c>
      <c r="P20" t="s">
        <v>28</v>
      </c>
      <c r="Q20" t="s">
        <v>29</v>
      </c>
      <c r="R20" t="s">
        <v>30</v>
      </c>
      <c r="S20" t="s">
        <v>31</v>
      </c>
      <c r="T20" t="s">
        <v>32</v>
      </c>
      <c r="U20" t="s">
        <v>26</v>
      </c>
      <c r="V20" t="s">
        <v>33</v>
      </c>
      <c r="W20" t="s">
        <v>50</v>
      </c>
      <c r="X20" t="s">
        <v>58</v>
      </c>
      <c r="Y20" t="s">
        <v>36</v>
      </c>
    </row>
    <row r="21" spans="1:25" x14ac:dyDescent="0.25">
      <c r="A21" t="s">
        <v>45</v>
      </c>
      <c r="B21">
        <v>26</v>
      </c>
      <c r="C21" t="str" cm="1">
        <f t="array" ref="C21">_xlfn.IFS(Finance_Data[[#This Row],[age]]&lt;25, "Under 25", Finance_Data[[#This Row],[age]]&lt;=30, "25 - 30",Finance_Data[[#This Row],[age]]&gt;30, "31+",Finance_Data[[#This Row],[age]]&gt;=35,"35 - 40")</f>
        <v>25 - 30</v>
      </c>
      <c r="D21" t="s">
        <v>24</v>
      </c>
      <c r="E21">
        <v>3</v>
      </c>
      <c r="F21">
        <v>4</v>
      </c>
      <c r="G21">
        <v>6</v>
      </c>
      <c r="H21">
        <v>5</v>
      </c>
      <c r="I21">
        <v>1</v>
      </c>
      <c r="J21">
        <v>2</v>
      </c>
      <c r="K21">
        <v>7</v>
      </c>
      <c r="L21" t="s">
        <v>24</v>
      </c>
      <c r="M21" t="s">
        <v>59</v>
      </c>
      <c r="N21" t="s">
        <v>26</v>
      </c>
      <c r="O21" t="s">
        <v>27</v>
      </c>
      <c r="P21" t="s">
        <v>46</v>
      </c>
      <c r="Q21" t="s">
        <v>29</v>
      </c>
      <c r="R21" t="s">
        <v>30</v>
      </c>
      <c r="S21" t="s">
        <v>64</v>
      </c>
      <c r="T21" t="s">
        <v>41</v>
      </c>
      <c r="U21" t="s">
        <v>26</v>
      </c>
      <c r="V21" t="s">
        <v>55</v>
      </c>
      <c r="W21" t="s">
        <v>50</v>
      </c>
      <c r="X21" t="s">
        <v>58</v>
      </c>
      <c r="Y21" t="s">
        <v>36</v>
      </c>
    </row>
    <row r="22" spans="1:25" x14ac:dyDescent="0.25">
      <c r="A22" t="s">
        <v>45</v>
      </c>
      <c r="B22">
        <v>29</v>
      </c>
      <c r="C22" t="str" cm="1">
        <f t="array" ref="C22">_xlfn.IFS(Finance_Data[[#This Row],[age]]&lt;25, "Under 25", Finance_Data[[#This Row],[age]]&lt;=30, "25 - 30",Finance_Data[[#This Row],[age]]&gt;30, "31+",Finance_Data[[#This Row],[age]]&gt;=35,"35 - 40")</f>
        <v>25 - 30</v>
      </c>
      <c r="D22" t="s">
        <v>24</v>
      </c>
      <c r="E22">
        <v>2</v>
      </c>
      <c r="F22">
        <v>4</v>
      </c>
      <c r="G22">
        <v>7</v>
      </c>
      <c r="H22">
        <v>5</v>
      </c>
      <c r="I22">
        <v>3</v>
      </c>
      <c r="J22">
        <v>1</v>
      </c>
      <c r="K22">
        <v>6</v>
      </c>
      <c r="L22" t="s">
        <v>24</v>
      </c>
      <c r="M22" t="s">
        <v>25</v>
      </c>
      <c r="N22" t="s">
        <v>62</v>
      </c>
      <c r="O22" t="s">
        <v>27</v>
      </c>
      <c r="P22" t="s">
        <v>46</v>
      </c>
      <c r="Q22" t="s">
        <v>40</v>
      </c>
      <c r="R22" t="s">
        <v>30</v>
      </c>
      <c r="S22" t="s">
        <v>31</v>
      </c>
      <c r="T22" t="s">
        <v>32</v>
      </c>
      <c r="U22" t="s">
        <v>26</v>
      </c>
      <c r="V22" t="s">
        <v>33</v>
      </c>
      <c r="W22" t="s">
        <v>50</v>
      </c>
      <c r="X22" t="s">
        <v>35</v>
      </c>
      <c r="Y22" t="s">
        <v>44</v>
      </c>
    </row>
    <row r="23" spans="1:25" x14ac:dyDescent="0.25">
      <c r="A23" t="s">
        <v>23</v>
      </c>
      <c r="B23">
        <v>24</v>
      </c>
      <c r="C23" t="str" cm="1">
        <f t="array" ref="C23">_xlfn.IFS(Finance_Data[[#This Row],[age]]&lt;25, "Under 25", Finance_Data[[#This Row],[age]]&lt;=30, "25 - 30",Finance_Data[[#This Row],[age]]&gt;30, "31+",Finance_Data[[#This Row],[age]]&gt;=35,"35 - 40")</f>
        <v>Under 25</v>
      </c>
      <c r="D23" t="s">
        <v>24</v>
      </c>
      <c r="E23">
        <v>2</v>
      </c>
      <c r="F23">
        <v>4</v>
      </c>
      <c r="G23">
        <v>5</v>
      </c>
      <c r="H23">
        <v>6</v>
      </c>
      <c r="I23">
        <v>3</v>
      </c>
      <c r="J23">
        <v>1</v>
      </c>
      <c r="K23">
        <v>7</v>
      </c>
      <c r="L23" t="s">
        <v>24</v>
      </c>
      <c r="M23" t="s">
        <v>59</v>
      </c>
      <c r="N23" t="s">
        <v>26</v>
      </c>
      <c r="O23" t="s">
        <v>27</v>
      </c>
      <c r="P23" t="s">
        <v>46</v>
      </c>
      <c r="Q23" t="s">
        <v>29</v>
      </c>
      <c r="R23" t="s">
        <v>30</v>
      </c>
      <c r="S23" t="s">
        <v>48</v>
      </c>
      <c r="T23" t="s">
        <v>41</v>
      </c>
      <c r="U23" t="s">
        <v>26</v>
      </c>
      <c r="V23" t="s">
        <v>33</v>
      </c>
      <c r="W23" t="s">
        <v>50</v>
      </c>
      <c r="X23" t="s">
        <v>58</v>
      </c>
      <c r="Y23" t="s">
        <v>36</v>
      </c>
    </row>
    <row r="24" spans="1:25" x14ac:dyDescent="0.25">
      <c r="A24" t="s">
        <v>45</v>
      </c>
      <c r="B24">
        <v>27</v>
      </c>
      <c r="C24" t="str" cm="1">
        <f t="array" ref="C24">_xlfn.IFS(Finance_Data[[#This Row],[age]]&lt;25, "Under 25", Finance_Data[[#This Row],[age]]&lt;=30, "25 - 30",Finance_Data[[#This Row],[age]]&gt;30, "31+",Finance_Data[[#This Row],[age]]&gt;=35,"35 - 40")</f>
        <v>25 - 30</v>
      </c>
      <c r="D24" t="s">
        <v>24</v>
      </c>
      <c r="E24">
        <v>3</v>
      </c>
      <c r="F24">
        <v>4</v>
      </c>
      <c r="G24">
        <v>6</v>
      </c>
      <c r="H24">
        <v>5</v>
      </c>
      <c r="I24">
        <v>2</v>
      </c>
      <c r="J24">
        <v>1</v>
      </c>
      <c r="K24">
        <v>7</v>
      </c>
      <c r="L24" t="s">
        <v>24</v>
      </c>
      <c r="M24" t="s">
        <v>25</v>
      </c>
      <c r="N24" t="s">
        <v>26</v>
      </c>
      <c r="O24" t="s">
        <v>27</v>
      </c>
      <c r="P24" t="s">
        <v>46</v>
      </c>
      <c r="Q24" t="s">
        <v>29</v>
      </c>
      <c r="R24" t="s">
        <v>30</v>
      </c>
      <c r="S24" t="s">
        <v>31</v>
      </c>
      <c r="T24" t="s">
        <v>32</v>
      </c>
      <c r="U24" t="s">
        <v>26</v>
      </c>
      <c r="V24" t="s">
        <v>33</v>
      </c>
      <c r="W24" t="s">
        <v>50</v>
      </c>
      <c r="X24" t="s">
        <v>58</v>
      </c>
      <c r="Y24" t="s">
        <v>44</v>
      </c>
    </row>
    <row r="25" spans="1:25" x14ac:dyDescent="0.25">
      <c r="A25" t="s">
        <v>45</v>
      </c>
      <c r="B25">
        <v>25</v>
      </c>
      <c r="C25" t="str" cm="1">
        <f t="array" ref="C25">_xlfn.IFS(Finance_Data[[#This Row],[age]]&lt;25, "Under 25", Finance_Data[[#This Row],[age]]&lt;=30, "25 - 30",Finance_Data[[#This Row],[age]]&gt;30, "31+",Finance_Data[[#This Row],[age]]&gt;=35,"35 - 40")</f>
        <v>25 - 30</v>
      </c>
      <c r="D25" t="s">
        <v>24</v>
      </c>
      <c r="E25">
        <v>2</v>
      </c>
      <c r="F25">
        <v>4</v>
      </c>
      <c r="G25">
        <v>6</v>
      </c>
      <c r="H25">
        <v>5</v>
      </c>
      <c r="I25">
        <v>3</v>
      </c>
      <c r="J25">
        <v>1</v>
      </c>
      <c r="K25">
        <v>7</v>
      </c>
      <c r="L25" t="s">
        <v>24</v>
      </c>
      <c r="M25" t="s">
        <v>59</v>
      </c>
      <c r="N25" t="s">
        <v>62</v>
      </c>
      <c r="O25" t="s">
        <v>63</v>
      </c>
      <c r="P25" t="s">
        <v>46</v>
      </c>
      <c r="Q25" t="s">
        <v>40</v>
      </c>
      <c r="R25" t="s">
        <v>30</v>
      </c>
      <c r="S25" t="s">
        <v>66</v>
      </c>
      <c r="T25" t="s">
        <v>41</v>
      </c>
      <c r="U25" t="s">
        <v>61</v>
      </c>
      <c r="V25" t="s">
        <v>33</v>
      </c>
      <c r="W25" t="s">
        <v>50</v>
      </c>
      <c r="X25" t="s">
        <v>58</v>
      </c>
      <c r="Y25" t="s">
        <v>44</v>
      </c>
    </row>
    <row r="26" spans="1:25" x14ac:dyDescent="0.25">
      <c r="A26" t="s">
        <v>23</v>
      </c>
      <c r="B26">
        <v>26</v>
      </c>
      <c r="C26" t="str" cm="1">
        <f t="array" ref="C26">_xlfn.IFS(Finance_Data[[#This Row],[age]]&lt;25, "Under 25", Finance_Data[[#This Row],[age]]&lt;=30, "25 - 30",Finance_Data[[#This Row],[age]]&gt;30, "31+",Finance_Data[[#This Row],[age]]&gt;=35,"35 - 40")</f>
        <v>25 - 30</v>
      </c>
      <c r="D26" t="s">
        <v>24</v>
      </c>
      <c r="E26">
        <v>2</v>
      </c>
      <c r="F26">
        <v>3</v>
      </c>
      <c r="G26">
        <v>7</v>
      </c>
      <c r="H26">
        <v>5</v>
      </c>
      <c r="I26">
        <v>4</v>
      </c>
      <c r="J26">
        <v>1</v>
      </c>
      <c r="K26">
        <v>6</v>
      </c>
      <c r="L26" t="s">
        <v>24</v>
      </c>
      <c r="M26" t="s">
        <v>25</v>
      </c>
      <c r="N26" t="s">
        <v>26</v>
      </c>
      <c r="O26" t="s">
        <v>27</v>
      </c>
      <c r="P26" t="s">
        <v>46</v>
      </c>
      <c r="Q26" t="s">
        <v>29</v>
      </c>
      <c r="R26" t="s">
        <v>60</v>
      </c>
      <c r="S26" t="s">
        <v>66</v>
      </c>
      <c r="T26" t="s">
        <v>32</v>
      </c>
      <c r="U26" t="s">
        <v>26</v>
      </c>
      <c r="V26" t="s">
        <v>33</v>
      </c>
      <c r="W26" t="s">
        <v>50</v>
      </c>
      <c r="X26" t="s">
        <v>58</v>
      </c>
      <c r="Y26" t="s">
        <v>36</v>
      </c>
    </row>
    <row r="27" spans="1:25" x14ac:dyDescent="0.25">
      <c r="A27" t="s">
        <v>23</v>
      </c>
      <c r="B27">
        <v>32</v>
      </c>
      <c r="C27" t="str" cm="1">
        <f t="array" ref="C27">_xlfn.IFS(Finance_Data[[#This Row],[age]]&lt;25, "Under 25", Finance_Data[[#This Row],[age]]&lt;=30, "25 - 30",Finance_Data[[#This Row],[age]]&gt;30, "31+",Finance_Data[[#This Row],[age]]&gt;=35,"35 - 40")</f>
        <v>31+</v>
      </c>
      <c r="D27" t="s">
        <v>24</v>
      </c>
      <c r="E27">
        <v>3</v>
      </c>
      <c r="F27">
        <v>4</v>
      </c>
      <c r="G27">
        <v>7</v>
      </c>
      <c r="H27">
        <v>5</v>
      </c>
      <c r="I27">
        <v>1</v>
      </c>
      <c r="J27">
        <v>2</v>
      </c>
      <c r="K27">
        <v>6</v>
      </c>
      <c r="L27" t="s">
        <v>24</v>
      </c>
      <c r="M27" t="s">
        <v>59</v>
      </c>
      <c r="N27" t="s">
        <v>62</v>
      </c>
      <c r="O27" t="s">
        <v>27</v>
      </c>
      <c r="P27" t="s">
        <v>46</v>
      </c>
      <c r="Q27" t="s">
        <v>29</v>
      </c>
      <c r="R27" t="s">
        <v>30</v>
      </c>
      <c r="S27" t="s">
        <v>31</v>
      </c>
      <c r="T27" t="s">
        <v>32</v>
      </c>
      <c r="U27" t="s">
        <v>26</v>
      </c>
      <c r="V27" t="s">
        <v>33</v>
      </c>
      <c r="W27" t="s">
        <v>50</v>
      </c>
      <c r="X27" t="s">
        <v>35</v>
      </c>
      <c r="Y27" t="s">
        <v>44</v>
      </c>
    </row>
    <row r="28" spans="1:25" x14ac:dyDescent="0.25">
      <c r="A28" t="s">
        <v>45</v>
      </c>
      <c r="B28">
        <v>26</v>
      </c>
      <c r="C28" t="str" cm="1">
        <f t="array" ref="C28">_xlfn.IFS(Finance_Data[[#This Row],[age]]&lt;25, "Under 25", Finance_Data[[#This Row],[age]]&lt;=30, "25 - 30",Finance_Data[[#This Row],[age]]&gt;30, "31+",Finance_Data[[#This Row],[age]]&gt;=35,"35 - 40")</f>
        <v>25 - 30</v>
      </c>
      <c r="D28" t="s">
        <v>24</v>
      </c>
      <c r="E28">
        <v>3</v>
      </c>
      <c r="F28">
        <v>4</v>
      </c>
      <c r="G28">
        <v>6</v>
      </c>
      <c r="H28">
        <v>5</v>
      </c>
      <c r="I28">
        <v>1</v>
      </c>
      <c r="J28">
        <v>2</v>
      </c>
      <c r="K28">
        <v>7</v>
      </c>
      <c r="L28" t="s">
        <v>24</v>
      </c>
      <c r="M28" t="s">
        <v>25</v>
      </c>
      <c r="N28" t="s">
        <v>26</v>
      </c>
      <c r="O28" t="s">
        <v>27</v>
      </c>
      <c r="P28" t="s">
        <v>46</v>
      </c>
      <c r="Q28" t="s">
        <v>29</v>
      </c>
      <c r="R28" t="s">
        <v>30</v>
      </c>
      <c r="S28" t="s">
        <v>31</v>
      </c>
      <c r="T28" t="s">
        <v>32</v>
      </c>
      <c r="U28" t="s">
        <v>42</v>
      </c>
      <c r="V28" t="s">
        <v>55</v>
      </c>
      <c r="W28" t="s">
        <v>50</v>
      </c>
      <c r="X28" t="s">
        <v>35</v>
      </c>
      <c r="Y28" t="s">
        <v>44</v>
      </c>
    </row>
    <row r="29" spans="1:25" x14ac:dyDescent="0.25">
      <c r="A29" t="s">
        <v>45</v>
      </c>
      <c r="B29">
        <v>31</v>
      </c>
      <c r="C29" t="str" cm="1">
        <f t="array" ref="C29">_xlfn.IFS(Finance_Data[[#This Row],[age]]&lt;25, "Under 25", Finance_Data[[#This Row],[age]]&lt;=30, "25 - 30",Finance_Data[[#This Row],[age]]&gt;30, "31+",Finance_Data[[#This Row],[age]]&gt;=35,"35 - 40")</f>
        <v>31+</v>
      </c>
      <c r="D29" t="s">
        <v>24</v>
      </c>
      <c r="E29">
        <v>2</v>
      </c>
      <c r="F29">
        <v>3</v>
      </c>
      <c r="G29">
        <v>7</v>
      </c>
      <c r="H29">
        <v>6</v>
      </c>
      <c r="I29">
        <v>4</v>
      </c>
      <c r="J29">
        <v>1</v>
      </c>
      <c r="K29">
        <v>5</v>
      </c>
      <c r="L29" t="s">
        <v>24</v>
      </c>
      <c r="M29" t="s">
        <v>59</v>
      </c>
      <c r="N29" t="s">
        <v>62</v>
      </c>
      <c r="O29" t="s">
        <v>63</v>
      </c>
      <c r="P29" t="s">
        <v>28</v>
      </c>
      <c r="Q29" t="s">
        <v>29</v>
      </c>
      <c r="R29" t="s">
        <v>30</v>
      </c>
      <c r="S29" t="s">
        <v>64</v>
      </c>
      <c r="T29" t="s">
        <v>41</v>
      </c>
      <c r="U29" t="s">
        <v>26</v>
      </c>
      <c r="V29" t="s">
        <v>55</v>
      </c>
      <c r="W29" t="s">
        <v>34</v>
      </c>
      <c r="X29" t="s">
        <v>35</v>
      </c>
      <c r="Y29" t="s">
        <v>51</v>
      </c>
    </row>
    <row r="30" spans="1:25" x14ac:dyDescent="0.25">
      <c r="A30" t="s">
        <v>45</v>
      </c>
      <c r="B30">
        <v>29</v>
      </c>
      <c r="C30" t="str" cm="1">
        <f t="array" ref="C30">_xlfn.IFS(Finance_Data[[#This Row],[age]]&lt;25, "Under 25", Finance_Data[[#This Row],[age]]&lt;=30, "25 - 30",Finance_Data[[#This Row],[age]]&gt;30, "31+",Finance_Data[[#This Row],[age]]&gt;=35,"35 - 40")</f>
        <v>25 - 30</v>
      </c>
      <c r="D30" t="s">
        <v>24</v>
      </c>
      <c r="E30">
        <v>2</v>
      </c>
      <c r="F30">
        <v>3</v>
      </c>
      <c r="G30">
        <v>6</v>
      </c>
      <c r="H30">
        <v>5</v>
      </c>
      <c r="I30">
        <v>1</v>
      </c>
      <c r="J30">
        <v>4</v>
      </c>
      <c r="K30">
        <v>7</v>
      </c>
      <c r="L30" t="s">
        <v>24</v>
      </c>
      <c r="M30" t="s">
        <v>25</v>
      </c>
      <c r="N30" t="s">
        <v>26</v>
      </c>
      <c r="O30" t="s">
        <v>27</v>
      </c>
      <c r="P30" t="s">
        <v>28</v>
      </c>
      <c r="Q30" t="s">
        <v>29</v>
      </c>
      <c r="R30" t="s">
        <v>30</v>
      </c>
      <c r="S30" t="s">
        <v>48</v>
      </c>
      <c r="T30" t="s">
        <v>32</v>
      </c>
      <c r="U30" t="s">
        <v>26</v>
      </c>
      <c r="V30" t="s">
        <v>33</v>
      </c>
      <c r="W30" t="s">
        <v>50</v>
      </c>
      <c r="X30" t="s">
        <v>58</v>
      </c>
      <c r="Y30" t="s">
        <v>51</v>
      </c>
    </row>
    <row r="31" spans="1:25" x14ac:dyDescent="0.25">
      <c r="A31" t="s">
        <v>23</v>
      </c>
      <c r="B31">
        <v>34</v>
      </c>
      <c r="C31" t="str" cm="1">
        <f t="array" ref="C31">_xlfn.IFS(Finance_Data[[#This Row],[age]]&lt;25, "Under 25", Finance_Data[[#This Row],[age]]&lt;=30, "25 - 30",Finance_Data[[#This Row],[age]]&gt;30, "31+",Finance_Data[[#This Row],[age]]&gt;=35,"35 - 40")</f>
        <v>31+</v>
      </c>
      <c r="D31" t="s">
        <v>24</v>
      </c>
      <c r="E31">
        <v>5</v>
      </c>
      <c r="F31">
        <v>4</v>
      </c>
      <c r="G31">
        <v>3</v>
      </c>
      <c r="H31">
        <v>2</v>
      </c>
      <c r="I31">
        <v>7</v>
      </c>
      <c r="J31">
        <v>1</v>
      </c>
      <c r="K31">
        <v>6</v>
      </c>
      <c r="L31" t="s">
        <v>24</v>
      </c>
      <c r="M31" t="s">
        <v>25</v>
      </c>
      <c r="N31" t="s">
        <v>52</v>
      </c>
      <c r="O31" t="s">
        <v>25</v>
      </c>
      <c r="P31" t="s">
        <v>46</v>
      </c>
      <c r="Q31" t="s">
        <v>29</v>
      </c>
      <c r="R31" t="s">
        <v>54</v>
      </c>
      <c r="S31" t="s">
        <v>31</v>
      </c>
      <c r="T31" t="s">
        <v>32</v>
      </c>
      <c r="U31" t="s">
        <v>26</v>
      </c>
      <c r="V31" t="s">
        <v>49</v>
      </c>
      <c r="W31" t="s">
        <v>34</v>
      </c>
      <c r="X31" t="s">
        <v>35</v>
      </c>
      <c r="Y31" t="s">
        <v>36</v>
      </c>
    </row>
    <row r="32" spans="1:25" x14ac:dyDescent="0.25">
      <c r="A32" t="s">
        <v>45</v>
      </c>
      <c r="B32">
        <v>27</v>
      </c>
      <c r="C32" t="str" cm="1">
        <f t="array" ref="C32">_xlfn.IFS(Finance_Data[[#This Row],[age]]&lt;25, "Under 25", Finance_Data[[#This Row],[age]]&lt;=30, "25 - 30",Finance_Data[[#This Row],[age]]&gt;30, "31+",Finance_Data[[#This Row],[age]]&gt;=35,"35 - 40")</f>
        <v>25 - 30</v>
      </c>
      <c r="D32" t="s">
        <v>24</v>
      </c>
      <c r="E32">
        <v>4</v>
      </c>
      <c r="F32">
        <v>5</v>
      </c>
      <c r="G32">
        <v>1</v>
      </c>
      <c r="H32">
        <v>2</v>
      </c>
      <c r="I32">
        <v>7</v>
      </c>
      <c r="J32">
        <v>3</v>
      </c>
      <c r="K32">
        <v>6</v>
      </c>
      <c r="L32" t="s">
        <v>37</v>
      </c>
      <c r="M32" t="s">
        <v>25</v>
      </c>
      <c r="N32" t="s">
        <v>62</v>
      </c>
      <c r="O32" t="s">
        <v>27</v>
      </c>
      <c r="P32" t="s">
        <v>28</v>
      </c>
      <c r="Q32" t="s">
        <v>29</v>
      </c>
      <c r="R32" t="s">
        <v>54</v>
      </c>
      <c r="S32" t="s">
        <v>31</v>
      </c>
      <c r="T32" t="s">
        <v>65</v>
      </c>
      <c r="U32" t="s">
        <v>26</v>
      </c>
      <c r="V32" t="s">
        <v>49</v>
      </c>
      <c r="W32" t="s">
        <v>34</v>
      </c>
      <c r="X32" t="s">
        <v>35</v>
      </c>
      <c r="Y32" t="s">
        <v>51</v>
      </c>
    </row>
    <row r="33" spans="1:25" x14ac:dyDescent="0.25">
      <c r="A33" t="s">
        <v>23</v>
      </c>
      <c r="B33">
        <v>31</v>
      </c>
      <c r="C33" t="str" cm="1">
        <f t="array" ref="C33">_xlfn.IFS(Finance_Data[[#This Row],[age]]&lt;25, "Under 25", Finance_Data[[#This Row],[age]]&lt;=30, "25 - 30",Finance_Data[[#This Row],[age]]&gt;30, "31+",Finance_Data[[#This Row],[age]]&gt;=35,"35 - 40")</f>
        <v>31+</v>
      </c>
      <c r="D33" t="s">
        <v>24</v>
      </c>
      <c r="E33">
        <v>2</v>
      </c>
      <c r="F33">
        <v>4</v>
      </c>
      <c r="G33">
        <v>7</v>
      </c>
      <c r="H33">
        <v>6</v>
      </c>
      <c r="I33">
        <v>3</v>
      </c>
      <c r="J33">
        <v>1</v>
      </c>
      <c r="K33">
        <v>5</v>
      </c>
      <c r="L33" t="s">
        <v>24</v>
      </c>
      <c r="M33" t="s">
        <v>25</v>
      </c>
      <c r="N33" t="s">
        <v>26</v>
      </c>
      <c r="O33" t="s">
        <v>27</v>
      </c>
      <c r="P33" t="s">
        <v>46</v>
      </c>
      <c r="Q33" t="s">
        <v>29</v>
      </c>
      <c r="R33" t="s">
        <v>30</v>
      </c>
      <c r="S33" t="s">
        <v>64</v>
      </c>
      <c r="T33" t="s">
        <v>32</v>
      </c>
      <c r="U33" t="s">
        <v>26</v>
      </c>
      <c r="V33" t="s">
        <v>33</v>
      </c>
      <c r="W33" t="s">
        <v>50</v>
      </c>
      <c r="X33" t="s">
        <v>35</v>
      </c>
      <c r="Y33" t="s">
        <v>44</v>
      </c>
    </row>
    <row r="34" spans="1:25" x14ac:dyDescent="0.25">
      <c r="A34" t="s">
        <v>45</v>
      </c>
      <c r="B34">
        <v>27</v>
      </c>
      <c r="C34" t="str" cm="1">
        <f t="array" ref="C34">_xlfn.IFS(Finance_Data[[#This Row],[age]]&lt;25, "Under 25", Finance_Data[[#This Row],[age]]&lt;=30, "25 - 30",Finance_Data[[#This Row],[age]]&gt;30, "31+",Finance_Data[[#This Row],[age]]&gt;=35,"35 - 40")</f>
        <v>25 - 30</v>
      </c>
      <c r="D34" t="s">
        <v>24</v>
      </c>
      <c r="E34">
        <v>2</v>
      </c>
      <c r="F34">
        <v>4</v>
      </c>
      <c r="G34">
        <v>7</v>
      </c>
      <c r="H34">
        <v>5</v>
      </c>
      <c r="I34">
        <v>1</v>
      </c>
      <c r="J34">
        <v>3</v>
      </c>
      <c r="K34">
        <v>6</v>
      </c>
      <c r="L34" t="s">
        <v>24</v>
      </c>
      <c r="M34" t="s">
        <v>25</v>
      </c>
      <c r="N34" t="s">
        <v>26</v>
      </c>
      <c r="O34" t="s">
        <v>27</v>
      </c>
      <c r="P34" t="s">
        <v>46</v>
      </c>
      <c r="Q34" t="s">
        <v>29</v>
      </c>
      <c r="R34" t="s">
        <v>60</v>
      </c>
      <c r="S34" t="s">
        <v>48</v>
      </c>
      <c r="T34" t="s">
        <v>41</v>
      </c>
      <c r="U34" t="s">
        <v>26</v>
      </c>
      <c r="V34" t="s">
        <v>55</v>
      </c>
      <c r="W34" t="s">
        <v>50</v>
      </c>
      <c r="X34" t="s">
        <v>35</v>
      </c>
      <c r="Y34" t="s">
        <v>36</v>
      </c>
    </row>
    <row r="35" spans="1:25" x14ac:dyDescent="0.25">
      <c r="A35" t="s">
        <v>45</v>
      </c>
      <c r="B35">
        <v>26</v>
      </c>
      <c r="C35" t="str" cm="1">
        <f t="array" ref="C35">_xlfn.IFS(Finance_Data[[#This Row],[age]]&lt;25, "Under 25", Finance_Data[[#This Row],[age]]&lt;=30, "25 - 30",Finance_Data[[#This Row],[age]]&gt;30, "31+",Finance_Data[[#This Row],[age]]&gt;=35,"35 - 40")</f>
        <v>25 - 30</v>
      </c>
      <c r="D35" t="s">
        <v>24</v>
      </c>
      <c r="E35">
        <v>2</v>
      </c>
      <c r="F35">
        <v>3</v>
      </c>
      <c r="G35">
        <v>6</v>
      </c>
      <c r="H35">
        <v>4</v>
      </c>
      <c r="I35">
        <v>1</v>
      </c>
      <c r="J35">
        <v>5</v>
      </c>
      <c r="K35">
        <v>7</v>
      </c>
      <c r="L35" t="s">
        <v>24</v>
      </c>
      <c r="M35" t="s">
        <v>25</v>
      </c>
      <c r="N35" t="s">
        <v>26</v>
      </c>
      <c r="O35" t="s">
        <v>25</v>
      </c>
      <c r="P35" t="s">
        <v>28</v>
      </c>
      <c r="Q35" t="s">
        <v>29</v>
      </c>
      <c r="R35" t="s">
        <v>30</v>
      </c>
      <c r="S35" t="s">
        <v>64</v>
      </c>
      <c r="T35" t="s">
        <v>65</v>
      </c>
      <c r="U35" t="s">
        <v>42</v>
      </c>
      <c r="V35" t="s">
        <v>33</v>
      </c>
      <c r="W35" t="s">
        <v>34</v>
      </c>
      <c r="X35" t="s">
        <v>58</v>
      </c>
      <c r="Y35" t="s">
        <v>36</v>
      </c>
    </row>
    <row r="36" spans="1:25" x14ac:dyDescent="0.25">
      <c r="A36" t="s">
        <v>45</v>
      </c>
      <c r="B36">
        <v>27</v>
      </c>
      <c r="C36" t="str" cm="1">
        <f t="array" ref="C36">_xlfn.IFS(Finance_Data[[#This Row],[age]]&lt;25, "Under 25", Finance_Data[[#This Row],[age]]&lt;=30, "25 - 30",Finance_Data[[#This Row],[age]]&gt;30, "31+",Finance_Data[[#This Row],[age]]&gt;=35,"35 - 40")</f>
        <v>25 - 30</v>
      </c>
      <c r="D36" t="s">
        <v>24</v>
      </c>
      <c r="E36">
        <v>2</v>
      </c>
      <c r="F36">
        <v>3</v>
      </c>
      <c r="G36">
        <v>6</v>
      </c>
      <c r="H36">
        <v>5</v>
      </c>
      <c r="I36">
        <v>4</v>
      </c>
      <c r="J36">
        <v>1</v>
      </c>
      <c r="K36">
        <v>7</v>
      </c>
      <c r="L36" t="s">
        <v>24</v>
      </c>
      <c r="M36" t="s">
        <v>25</v>
      </c>
      <c r="N36" t="s">
        <v>26</v>
      </c>
      <c r="O36" t="s">
        <v>27</v>
      </c>
      <c r="P36" t="s">
        <v>28</v>
      </c>
      <c r="Q36" t="s">
        <v>40</v>
      </c>
      <c r="R36" t="s">
        <v>30</v>
      </c>
      <c r="S36" t="s">
        <v>31</v>
      </c>
      <c r="T36" t="s">
        <v>41</v>
      </c>
      <c r="U36" t="s">
        <v>26</v>
      </c>
      <c r="V36" t="s">
        <v>33</v>
      </c>
      <c r="W36" t="s">
        <v>34</v>
      </c>
      <c r="X36" t="s">
        <v>35</v>
      </c>
      <c r="Y36" t="s">
        <v>44</v>
      </c>
    </row>
    <row r="37" spans="1:25" x14ac:dyDescent="0.25">
      <c r="A37" t="s">
        <v>45</v>
      </c>
      <c r="B37">
        <v>30</v>
      </c>
      <c r="C37" t="str" cm="1">
        <f t="array" ref="C37">_xlfn.IFS(Finance_Data[[#This Row],[age]]&lt;25, "Under 25", Finance_Data[[#This Row],[age]]&lt;=30, "25 - 30",Finance_Data[[#This Row],[age]]&gt;30, "31+",Finance_Data[[#This Row],[age]]&gt;=35,"35 - 40")</f>
        <v>25 - 30</v>
      </c>
      <c r="D37" t="s">
        <v>24</v>
      </c>
      <c r="E37">
        <v>1</v>
      </c>
      <c r="F37">
        <v>4</v>
      </c>
      <c r="G37">
        <v>6</v>
      </c>
      <c r="H37">
        <v>5</v>
      </c>
      <c r="I37">
        <v>3</v>
      </c>
      <c r="J37">
        <v>2</v>
      </c>
      <c r="K37">
        <v>7</v>
      </c>
      <c r="L37" t="s">
        <v>24</v>
      </c>
      <c r="M37" t="s">
        <v>59</v>
      </c>
      <c r="N37" t="s">
        <v>62</v>
      </c>
      <c r="O37" t="s">
        <v>27</v>
      </c>
      <c r="P37" t="s">
        <v>46</v>
      </c>
      <c r="Q37" t="s">
        <v>29</v>
      </c>
      <c r="R37" t="s">
        <v>30</v>
      </c>
      <c r="S37" t="s">
        <v>64</v>
      </c>
      <c r="T37" t="s">
        <v>41</v>
      </c>
      <c r="U37" t="s">
        <v>26</v>
      </c>
      <c r="V37" t="s">
        <v>33</v>
      </c>
      <c r="W37" t="s">
        <v>50</v>
      </c>
      <c r="X37" t="s">
        <v>35</v>
      </c>
      <c r="Y37" t="s">
        <v>44</v>
      </c>
    </row>
    <row r="38" spans="1:25" x14ac:dyDescent="0.25">
      <c r="A38" t="s">
        <v>45</v>
      </c>
      <c r="B38">
        <v>30</v>
      </c>
      <c r="C38" t="str" cm="1">
        <f t="array" ref="C38">_xlfn.IFS(Finance_Data[[#This Row],[age]]&lt;25, "Under 25", Finance_Data[[#This Row],[age]]&lt;=30, "25 - 30",Finance_Data[[#This Row],[age]]&gt;30, "31+",Finance_Data[[#This Row],[age]]&gt;=35,"35 - 40")</f>
        <v>25 - 30</v>
      </c>
      <c r="D38" t="s">
        <v>24</v>
      </c>
      <c r="E38">
        <v>2</v>
      </c>
      <c r="F38">
        <v>4</v>
      </c>
      <c r="G38">
        <v>7</v>
      </c>
      <c r="H38">
        <v>5</v>
      </c>
      <c r="I38">
        <v>1</v>
      </c>
      <c r="J38">
        <v>3</v>
      </c>
      <c r="K38">
        <v>6</v>
      </c>
      <c r="L38" t="s">
        <v>24</v>
      </c>
      <c r="M38" t="s">
        <v>25</v>
      </c>
      <c r="N38" t="s">
        <v>26</v>
      </c>
      <c r="O38" t="s">
        <v>27</v>
      </c>
      <c r="P38" t="s">
        <v>28</v>
      </c>
      <c r="Q38" t="s">
        <v>29</v>
      </c>
      <c r="R38" t="s">
        <v>30</v>
      </c>
      <c r="S38" t="s">
        <v>48</v>
      </c>
      <c r="T38" t="s">
        <v>32</v>
      </c>
      <c r="U38" t="s">
        <v>26</v>
      </c>
      <c r="V38" t="s">
        <v>33</v>
      </c>
      <c r="W38" t="s">
        <v>50</v>
      </c>
      <c r="X38" t="s">
        <v>58</v>
      </c>
      <c r="Y38" t="s">
        <v>36</v>
      </c>
    </row>
    <row r="39" spans="1:25" x14ac:dyDescent="0.25">
      <c r="A39" t="s">
        <v>45</v>
      </c>
      <c r="B39">
        <v>25</v>
      </c>
      <c r="C39" t="str" cm="1">
        <f t="array" ref="C39">_xlfn.IFS(Finance_Data[[#This Row],[age]]&lt;25, "Under 25", Finance_Data[[#This Row],[age]]&lt;=30, "25 - 30",Finance_Data[[#This Row],[age]]&gt;30, "31+",Finance_Data[[#This Row],[age]]&gt;=35,"35 - 40")</f>
        <v>25 - 30</v>
      </c>
      <c r="D39" t="s">
        <v>24</v>
      </c>
      <c r="E39">
        <v>5</v>
      </c>
      <c r="F39">
        <v>4</v>
      </c>
      <c r="G39">
        <v>7</v>
      </c>
      <c r="H39">
        <v>6</v>
      </c>
      <c r="I39">
        <v>1</v>
      </c>
      <c r="J39">
        <v>2</v>
      </c>
      <c r="K39">
        <v>3</v>
      </c>
      <c r="L39" t="s">
        <v>24</v>
      </c>
      <c r="M39" t="s">
        <v>59</v>
      </c>
      <c r="N39" t="s">
        <v>62</v>
      </c>
      <c r="O39" t="s">
        <v>63</v>
      </c>
      <c r="P39" t="s">
        <v>46</v>
      </c>
      <c r="Q39" t="s">
        <v>29</v>
      </c>
      <c r="R39" t="s">
        <v>60</v>
      </c>
      <c r="S39" t="s">
        <v>66</v>
      </c>
      <c r="T39" t="s">
        <v>41</v>
      </c>
      <c r="U39" t="s">
        <v>26</v>
      </c>
      <c r="V39" t="s">
        <v>33</v>
      </c>
      <c r="W39" t="s">
        <v>34</v>
      </c>
      <c r="X39" t="s">
        <v>35</v>
      </c>
      <c r="Y39" t="s">
        <v>44</v>
      </c>
    </row>
    <row r="40" spans="1:25" x14ac:dyDescent="0.25">
      <c r="A40" t="s">
        <v>45</v>
      </c>
      <c r="B40">
        <v>31</v>
      </c>
      <c r="C40" t="str" cm="1">
        <f t="array" ref="C40">_xlfn.IFS(Finance_Data[[#This Row],[age]]&lt;25, "Under 25", Finance_Data[[#This Row],[age]]&lt;=30, "25 - 30",Finance_Data[[#This Row],[age]]&gt;30, "31+",Finance_Data[[#This Row],[age]]&gt;=35,"35 - 40")</f>
        <v>31+</v>
      </c>
      <c r="D40" t="s">
        <v>24</v>
      </c>
      <c r="E40">
        <v>2</v>
      </c>
      <c r="F40">
        <v>4</v>
      </c>
      <c r="G40">
        <v>7</v>
      </c>
      <c r="H40">
        <v>5</v>
      </c>
      <c r="I40">
        <v>3</v>
      </c>
      <c r="J40">
        <v>1</v>
      </c>
      <c r="K40">
        <v>6</v>
      </c>
      <c r="L40" t="s">
        <v>24</v>
      </c>
      <c r="M40" t="s">
        <v>59</v>
      </c>
      <c r="N40" t="s">
        <v>62</v>
      </c>
      <c r="O40" t="s">
        <v>27</v>
      </c>
      <c r="P40" t="s">
        <v>28</v>
      </c>
      <c r="Q40" t="s">
        <v>40</v>
      </c>
      <c r="R40" t="s">
        <v>30</v>
      </c>
      <c r="S40" t="s">
        <v>48</v>
      </c>
      <c r="T40" t="s">
        <v>41</v>
      </c>
      <c r="U40" t="s">
        <v>42</v>
      </c>
      <c r="V40" t="s">
        <v>55</v>
      </c>
      <c r="W40" t="s">
        <v>50</v>
      </c>
      <c r="X40" t="s">
        <v>35</v>
      </c>
      <c r="Y40" t="s">
        <v>36</v>
      </c>
    </row>
    <row r="41" spans="1:25" x14ac:dyDescent="0.25">
      <c r="A41" t="s">
        <v>45</v>
      </c>
      <c r="B41">
        <v>29</v>
      </c>
      <c r="C41" t="str" cm="1">
        <f t="array" ref="C41">_xlfn.IFS(Finance_Data[[#This Row],[age]]&lt;25, "Under 25", Finance_Data[[#This Row],[age]]&lt;=30, "25 - 30",Finance_Data[[#This Row],[age]]&gt;30, "31+",Finance_Data[[#This Row],[age]]&gt;=35,"35 - 40")</f>
        <v>25 - 30</v>
      </c>
      <c r="D41" t="s">
        <v>24</v>
      </c>
      <c r="E41">
        <v>4</v>
      </c>
      <c r="F41">
        <v>3</v>
      </c>
      <c r="G41">
        <v>5</v>
      </c>
      <c r="H41">
        <v>7</v>
      </c>
      <c r="I41">
        <v>2</v>
      </c>
      <c r="J41">
        <v>1</v>
      </c>
      <c r="K41">
        <v>6</v>
      </c>
      <c r="L41" t="s">
        <v>24</v>
      </c>
      <c r="M41" t="s">
        <v>25</v>
      </c>
      <c r="N41" t="s">
        <v>26</v>
      </c>
      <c r="O41" t="s">
        <v>27</v>
      </c>
      <c r="P41" t="s">
        <v>46</v>
      </c>
      <c r="Q41" t="s">
        <v>29</v>
      </c>
      <c r="R41" t="s">
        <v>30</v>
      </c>
      <c r="S41" t="s">
        <v>64</v>
      </c>
      <c r="T41" t="s">
        <v>32</v>
      </c>
      <c r="U41" t="s">
        <v>42</v>
      </c>
      <c r="V41" t="s">
        <v>33</v>
      </c>
      <c r="W41" t="s">
        <v>34</v>
      </c>
      <c r="X41" t="s">
        <v>35</v>
      </c>
      <c r="Y41" t="s">
        <v>44</v>
      </c>
    </row>
  </sheetData>
  <dataValidations count="1">
    <dataValidation type="whole" allowBlank="1" showInputMessage="1" showErrorMessage="1" sqref="B2:B41" xr:uid="{01A05F5E-DB31-4B0D-84BD-8E3F4A9A55E1}">
      <formula1>20</formula1>
      <formula2>55</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87C0346-EE6B-4778-94F1-7724D0B9254A}">
          <x14:formula1>
            <xm:f>'Admin Configuration'!$B$18:$B$19</xm:f>
          </x14:formula1>
          <xm:sqref>A2:A41</xm:sqref>
        </x14:dataValidation>
        <x14:dataValidation type="list" allowBlank="1" showInputMessage="1" showErrorMessage="1" xr:uid="{9475BF89-2984-4DC3-A372-EC6FD71877ED}">
          <x14:formula1>
            <xm:f>'Admin Configuration'!$D$18:$D$19</xm:f>
          </x14:formula1>
          <xm:sqref>L2:L41 D42:D1048576 D1 D2:D41</xm:sqref>
        </x14:dataValidation>
        <x14:dataValidation type="list" allowBlank="1" showInputMessage="1" showErrorMessage="1" xr:uid="{019F2041-58AE-43B5-A737-9E0DA0F8C1EC}">
          <x14:formula1>
            <xm:f>'Admin Configuration'!$F$13:$F$19</xm:f>
          </x14:formula1>
          <xm:sqref>E2:K41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37DC-FA5D-4D38-998F-4BEC72AA7DC0}">
  <sheetPr codeName="Sheet4"/>
  <dimension ref="A1:R24"/>
  <sheetViews>
    <sheetView topLeftCell="D1" zoomScale="86" zoomScaleNormal="86" workbookViewId="0">
      <selection activeCell="N6" sqref="N6:O6"/>
    </sheetView>
  </sheetViews>
  <sheetFormatPr defaultRowHeight="15" x14ac:dyDescent="0.25"/>
  <cols>
    <col min="1" max="1" width="12.28515625" bestFit="1" customWidth="1"/>
    <col min="2" max="2" width="22.28515625" bestFit="1" customWidth="1"/>
    <col min="3" max="3" width="22.7109375" bestFit="1" customWidth="1"/>
    <col min="4" max="5" width="20.28515625" bestFit="1" customWidth="1"/>
    <col min="6" max="6" width="23" bestFit="1" customWidth="1"/>
    <col min="7" max="7" width="21.5703125" bestFit="1" customWidth="1"/>
    <col min="8" max="8" width="18.140625" bestFit="1" customWidth="1"/>
    <col min="9" max="9" width="17.42578125" bestFit="1" customWidth="1"/>
    <col min="10" max="10" width="13.28515625" bestFit="1" customWidth="1"/>
    <col min="11" max="11" width="18.85546875" bestFit="1" customWidth="1"/>
    <col min="12" max="18" width="7.140625" bestFit="1" customWidth="1"/>
  </cols>
  <sheetData>
    <row r="1" spans="1:18" x14ac:dyDescent="0.25">
      <c r="A1" s="5" t="s">
        <v>95</v>
      </c>
      <c r="C1" t="s">
        <v>96</v>
      </c>
      <c r="E1" t="s">
        <v>104</v>
      </c>
      <c r="G1" t="s">
        <v>105</v>
      </c>
    </row>
    <row r="2" spans="1:18" x14ac:dyDescent="0.25">
      <c r="A2" s="7">
        <v>40</v>
      </c>
      <c r="C2" s="3">
        <v>27.8</v>
      </c>
      <c r="E2" s="16">
        <v>40</v>
      </c>
      <c r="G2" s="16">
        <v>40</v>
      </c>
    </row>
    <row r="3" spans="1:18" x14ac:dyDescent="0.25">
      <c r="A3">
        <f>GETPIVOTDATA("gender",$A$1)</f>
        <v>40</v>
      </c>
      <c r="C3" s="3">
        <f>GETPIVOTDATA("age",$C$1)</f>
        <v>27.8</v>
      </c>
      <c r="E3" s="8">
        <f>GETPIVOTDATA("Investment_Avenues",$E$1) / COUNTA(Finance_Data[Investment_Avenues]) *1</f>
        <v>1</v>
      </c>
      <c r="G3" s="8">
        <f>(GETPIVOTDATA("Stock_Market",$G$1) / COUNTA(Finance_Data[Investment_Avenues]) )* 1</f>
        <v>1</v>
      </c>
    </row>
    <row r="7" spans="1:18" ht="16.5" thickBot="1" x14ac:dyDescent="0.3">
      <c r="A7" s="11" t="s">
        <v>98</v>
      </c>
      <c r="B7" s="11"/>
      <c r="C7" s="11"/>
      <c r="D7" s="11"/>
      <c r="E7" s="11"/>
      <c r="G7" s="12" t="s">
        <v>99</v>
      </c>
      <c r="H7" s="12"/>
      <c r="I7" s="12"/>
      <c r="K7" s="11" t="s">
        <v>123</v>
      </c>
      <c r="L7" s="13"/>
      <c r="M7" s="13"/>
      <c r="N7" s="13"/>
      <c r="O7" s="13"/>
      <c r="P7" s="13"/>
      <c r="Q7" s="13"/>
      <c r="R7" s="13"/>
    </row>
    <row r="8" spans="1:18" ht="15.75" thickTop="1" x14ac:dyDescent="0.25">
      <c r="A8" s="1" t="s">
        <v>77</v>
      </c>
      <c r="B8" s="1" t="s">
        <v>75</v>
      </c>
      <c r="G8" s="1" t="s">
        <v>67</v>
      </c>
      <c r="H8" t="s">
        <v>87</v>
      </c>
      <c r="I8" t="s">
        <v>88</v>
      </c>
      <c r="K8" t="s">
        <v>67</v>
      </c>
      <c r="L8" t="s">
        <v>116</v>
      </c>
      <c r="M8" t="s">
        <v>117</v>
      </c>
      <c r="N8" t="s">
        <v>118</v>
      </c>
      <c r="O8" t="s">
        <v>119</v>
      </c>
      <c r="P8" t="s">
        <v>120</v>
      </c>
      <c r="Q8" t="s">
        <v>121</v>
      </c>
      <c r="R8" t="s">
        <v>122</v>
      </c>
    </row>
    <row r="9" spans="1:18" x14ac:dyDescent="0.25">
      <c r="A9" s="1" t="s">
        <v>67</v>
      </c>
      <c r="B9" t="s">
        <v>48</v>
      </c>
      <c r="C9" t="s">
        <v>64</v>
      </c>
      <c r="D9" t="s">
        <v>31</v>
      </c>
      <c r="E9" t="s">
        <v>66</v>
      </c>
      <c r="G9" s="2" t="s">
        <v>48</v>
      </c>
      <c r="H9" s="3">
        <v>10</v>
      </c>
      <c r="I9" s="4">
        <v>0.25</v>
      </c>
      <c r="K9" t="s">
        <v>5</v>
      </c>
      <c r="L9">
        <v>1</v>
      </c>
      <c r="M9">
        <v>1</v>
      </c>
      <c r="N9">
        <v>4</v>
      </c>
      <c r="O9">
        <v>3</v>
      </c>
      <c r="P9">
        <v>3</v>
      </c>
      <c r="Q9">
        <v>8</v>
      </c>
      <c r="R9">
        <v>20</v>
      </c>
    </row>
    <row r="10" spans="1:18" x14ac:dyDescent="0.25">
      <c r="A10" s="2" t="s">
        <v>80</v>
      </c>
      <c r="B10" s="16">
        <v>5</v>
      </c>
      <c r="C10" s="16">
        <v>6</v>
      </c>
      <c r="D10" s="16">
        <v>10</v>
      </c>
      <c r="E10" s="16">
        <v>3</v>
      </c>
      <c r="G10" s="2" t="s">
        <v>64</v>
      </c>
      <c r="H10" s="3">
        <v>9</v>
      </c>
      <c r="I10" s="4">
        <v>0.22500000000000001</v>
      </c>
      <c r="K10" t="s">
        <v>4</v>
      </c>
      <c r="L10">
        <v>2</v>
      </c>
      <c r="M10">
        <v>5</v>
      </c>
      <c r="N10">
        <v>12</v>
      </c>
      <c r="O10">
        <v>16</v>
      </c>
      <c r="P10">
        <v>3</v>
      </c>
      <c r="Q10">
        <v>2</v>
      </c>
      <c r="R10">
        <v>0</v>
      </c>
    </row>
    <row r="11" spans="1:18" x14ac:dyDescent="0.25">
      <c r="A11" s="2" t="s">
        <v>81</v>
      </c>
      <c r="B11" s="16">
        <v>2</v>
      </c>
      <c r="C11" s="16">
        <v>3</v>
      </c>
      <c r="D11" s="16">
        <v>4</v>
      </c>
      <c r="E11" s="16"/>
      <c r="G11" s="2" t="s">
        <v>31</v>
      </c>
      <c r="H11" s="3">
        <v>18</v>
      </c>
      <c r="I11" s="4">
        <v>0.45</v>
      </c>
      <c r="K11" t="s">
        <v>7</v>
      </c>
      <c r="L11">
        <v>8</v>
      </c>
      <c r="M11">
        <v>2</v>
      </c>
      <c r="N11">
        <v>10</v>
      </c>
      <c r="O11">
        <v>7</v>
      </c>
      <c r="P11">
        <v>8</v>
      </c>
      <c r="Q11">
        <v>2</v>
      </c>
      <c r="R11">
        <v>3</v>
      </c>
    </row>
    <row r="12" spans="1:18" x14ac:dyDescent="0.25">
      <c r="A12" s="2" t="s">
        <v>82</v>
      </c>
      <c r="B12" s="16">
        <v>3</v>
      </c>
      <c r="C12" s="16"/>
      <c r="D12" s="16">
        <v>4</v>
      </c>
      <c r="E12" s="16"/>
      <c r="G12" s="2" t="s">
        <v>66</v>
      </c>
      <c r="H12" s="3">
        <v>3</v>
      </c>
      <c r="I12" s="4">
        <v>7.4999999999999997E-2</v>
      </c>
      <c r="K12" t="s">
        <v>9</v>
      </c>
      <c r="L12">
        <v>0</v>
      </c>
      <c r="M12">
        <v>1</v>
      </c>
      <c r="N12">
        <v>1</v>
      </c>
      <c r="O12">
        <v>2</v>
      </c>
      <c r="P12">
        <v>4</v>
      </c>
      <c r="Q12">
        <v>18</v>
      </c>
      <c r="R12">
        <v>14</v>
      </c>
    </row>
    <row r="13" spans="1:18" x14ac:dyDescent="0.25">
      <c r="A13" s="2" t="s">
        <v>68</v>
      </c>
      <c r="B13" s="16">
        <v>10</v>
      </c>
      <c r="C13" s="16">
        <v>9</v>
      </c>
      <c r="D13" s="16">
        <v>18</v>
      </c>
      <c r="E13" s="16">
        <v>3</v>
      </c>
      <c r="G13" s="2" t="s">
        <v>68</v>
      </c>
      <c r="H13" s="3">
        <v>40</v>
      </c>
      <c r="I13" s="4">
        <v>1</v>
      </c>
      <c r="K13" t="s">
        <v>6</v>
      </c>
      <c r="L13">
        <v>1</v>
      </c>
      <c r="M13">
        <v>4</v>
      </c>
      <c r="N13">
        <v>1</v>
      </c>
      <c r="O13">
        <v>7</v>
      </c>
      <c r="P13">
        <v>18</v>
      </c>
      <c r="Q13">
        <v>7</v>
      </c>
      <c r="R13">
        <v>2</v>
      </c>
    </row>
    <row r="14" spans="1:18" x14ac:dyDescent="0.25">
      <c r="K14" t="s">
        <v>3</v>
      </c>
      <c r="L14">
        <v>4</v>
      </c>
      <c r="M14">
        <v>21</v>
      </c>
      <c r="N14">
        <v>9</v>
      </c>
      <c r="O14">
        <v>3</v>
      </c>
      <c r="P14">
        <v>2</v>
      </c>
      <c r="Q14">
        <v>0</v>
      </c>
      <c r="R14">
        <v>1</v>
      </c>
    </row>
    <row r="15" spans="1:18" x14ac:dyDescent="0.25">
      <c r="K15" t="s">
        <v>8</v>
      </c>
      <c r="L15">
        <v>24</v>
      </c>
      <c r="M15">
        <v>6</v>
      </c>
      <c r="N15">
        <v>3</v>
      </c>
      <c r="O15">
        <v>2</v>
      </c>
      <c r="P15">
        <v>2</v>
      </c>
      <c r="Q15">
        <v>3</v>
      </c>
      <c r="R15">
        <v>0</v>
      </c>
    </row>
    <row r="17" spans="1:8" ht="15.75" x14ac:dyDescent="0.25">
      <c r="A17" s="11" t="s">
        <v>114</v>
      </c>
      <c r="B17" s="11"/>
      <c r="C17" s="11"/>
      <c r="D17" s="11"/>
      <c r="E17" s="11"/>
      <c r="F17" s="11"/>
      <c r="G17" s="11"/>
      <c r="H17" s="11"/>
    </row>
    <row r="18" spans="1:8" x14ac:dyDescent="0.25">
      <c r="A18" s="1" t="s">
        <v>67</v>
      </c>
      <c r="B18" t="s">
        <v>107</v>
      </c>
      <c r="C18" t="s">
        <v>108</v>
      </c>
      <c r="D18" t="s">
        <v>109</v>
      </c>
      <c r="E18" t="s">
        <v>110</v>
      </c>
      <c r="F18" t="s">
        <v>111</v>
      </c>
      <c r="G18" t="s">
        <v>112</v>
      </c>
      <c r="H18" t="s">
        <v>113</v>
      </c>
    </row>
    <row r="19" spans="1:8" x14ac:dyDescent="0.25">
      <c r="A19" s="2" t="s">
        <v>23</v>
      </c>
      <c r="B19" s="3">
        <v>2.7333333333333334</v>
      </c>
      <c r="C19" s="3">
        <v>3.3333333333333335</v>
      </c>
      <c r="D19" s="3">
        <v>5.2</v>
      </c>
      <c r="E19" s="3">
        <v>4.333333333333333</v>
      </c>
      <c r="F19" s="3">
        <v>4.2</v>
      </c>
      <c r="G19" s="3">
        <v>2.3333333333333335</v>
      </c>
      <c r="H19" s="3">
        <v>5.8666666666666663</v>
      </c>
    </row>
    <row r="20" spans="1:8" x14ac:dyDescent="0.25">
      <c r="A20" s="2" t="s">
        <v>45</v>
      </c>
      <c r="B20" s="3">
        <v>2.44</v>
      </c>
      <c r="C20" s="3">
        <v>3.56</v>
      </c>
      <c r="D20" s="3">
        <v>6.08</v>
      </c>
      <c r="E20" s="3">
        <v>4.84</v>
      </c>
      <c r="F20" s="3">
        <v>3.2</v>
      </c>
      <c r="G20" s="3">
        <v>1.84</v>
      </c>
      <c r="H20" s="3">
        <v>6.04</v>
      </c>
    </row>
    <row r="21" spans="1:8" x14ac:dyDescent="0.25">
      <c r="A21" s="2" t="s">
        <v>68</v>
      </c>
      <c r="B21" s="3">
        <v>2.5499999999999998</v>
      </c>
      <c r="C21" s="3">
        <v>3.4750000000000001</v>
      </c>
      <c r="D21" s="3">
        <v>5.75</v>
      </c>
      <c r="E21" s="3">
        <v>4.6500000000000004</v>
      </c>
      <c r="F21" s="3">
        <v>3.5750000000000002</v>
      </c>
      <c r="G21" s="3">
        <v>2.0249999999999999</v>
      </c>
      <c r="H21" s="3">
        <v>5.9749999999999996</v>
      </c>
    </row>
    <row r="24" spans="1:8" x14ac:dyDescent="0.25">
      <c r="A24" s="19"/>
      <c r="B24" s="19"/>
      <c r="C24" s="19"/>
      <c r="H24" s="19"/>
    </row>
  </sheetData>
  <mergeCells count="4">
    <mergeCell ref="A7:E7"/>
    <mergeCell ref="G7:I7"/>
    <mergeCell ref="A17:H17"/>
    <mergeCell ref="K7:R7"/>
  </mergeCells>
  <conditionalFormatting pivot="1" sqref="B10:E12">
    <cfRule type="colorScale" priority="15">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F9D9-39D7-447A-A9DD-F6BD1BCED5BD}">
  <sheetPr codeName="Sheet5"/>
  <dimension ref="A4:K19"/>
  <sheetViews>
    <sheetView showFormulas="1" workbookViewId="0">
      <selection activeCell="C10" sqref="C10"/>
    </sheetView>
  </sheetViews>
  <sheetFormatPr defaultRowHeight="15" x14ac:dyDescent="0.25"/>
  <cols>
    <col min="1" max="1" width="7.140625" bestFit="1" customWidth="1"/>
    <col min="2" max="2" width="9" customWidth="1"/>
    <col min="3" max="3" width="8.5703125" bestFit="1" customWidth="1"/>
    <col min="4" max="4" width="8.85546875" bestFit="1" customWidth="1"/>
    <col min="5" max="5" width="15.5703125" bestFit="1" customWidth="1"/>
    <col min="6" max="6" width="9.7109375" bestFit="1" customWidth="1"/>
    <col min="7" max="7" width="13.140625" bestFit="1" customWidth="1"/>
    <col min="8" max="8" width="7.7109375" bestFit="1" customWidth="1"/>
    <col min="9" max="9" width="8" bestFit="1" customWidth="1"/>
    <col min="10" max="10" width="10.42578125" bestFit="1" customWidth="1"/>
    <col min="11" max="12" width="8.140625" bestFit="1" customWidth="1"/>
    <col min="13" max="13" width="11.28515625" bestFit="1" customWidth="1"/>
    <col min="14" max="16" width="13.42578125" bestFit="1" customWidth="1"/>
    <col min="17" max="17" width="20.5703125" bestFit="1" customWidth="1"/>
  </cols>
  <sheetData>
    <row r="4" spans="1:11" ht="15.75" x14ac:dyDescent="0.25">
      <c r="A4" s="15" t="s">
        <v>78</v>
      </c>
      <c r="B4" s="15"/>
      <c r="D4" s="11" t="s">
        <v>115</v>
      </c>
      <c r="E4" s="11"/>
      <c r="G4" s="11" t="s">
        <v>84</v>
      </c>
      <c r="H4" s="11"/>
      <c r="J4" s="14" t="s">
        <v>124</v>
      </c>
      <c r="K4" s="14"/>
    </row>
    <row r="5" spans="1:11" x14ac:dyDescent="0.25">
      <c r="A5" s="1" t="s">
        <v>67</v>
      </c>
      <c r="B5" t="s">
        <v>87</v>
      </c>
      <c r="D5" s="1" t="s">
        <v>67</v>
      </c>
      <c r="E5" t="s">
        <v>87</v>
      </c>
      <c r="G5" s="1" t="s">
        <v>67</v>
      </c>
      <c r="H5" t="s">
        <v>83</v>
      </c>
      <c r="J5" s="1" t="s">
        <v>67</v>
      </c>
      <c r="K5" t="s">
        <v>97</v>
      </c>
    </row>
    <row r="6" spans="1:11" x14ac:dyDescent="0.25">
      <c r="A6" s="2" t="s">
        <v>38</v>
      </c>
      <c r="B6" s="16">
        <v>1</v>
      </c>
      <c r="D6" s="2" t="s">
        <v>65</v>
      </c>
      <c r="E6" s="3">
        <v>3</v>
      </c>
      <c r="G6" s="2" t="s">
        <v>44</v>
      </c>
      <c r="H6" s="4">
        <v>0.4</v>
      </c>
      <c r="J6" s="2" t="s">
        <v>48</v>
      </c>
      <c r="K6" s="3">
        <v>10</v>
      </c>
    </row>
    <row r="7" spans="1:11" x14ac:dyDescent="0.25">
      <c r="A7" s="2" t="s">
        <v>25</v>
      </c>
      <c r="B7" s="16">
        <v>25</v>
      </c>
      <c r="D7" s="2" t="s">
        <v>41</v>
      </c>
      <c r="E7" s="3">
        <v>13</v>
      </c>
      <c r="G7" s="2" t="s">
        <v>57</v>
      </c>
      <c r="H7" s="4">
        <v>0.1</v>
      </c>
      <c r="J7" s="2" t="s">
        <v>64</v>
      </c>
      <c r="K7" s="3">
        <v>9</v>
      </c>
    </row>
    <row r="8" spans="1:11" x14ac:dyDescent="0.25">
      <c r="A8" s="2" t="s">
        <v>59</v>
      </c>
      <c r="B8" s="16">
        <v>14</v>
      </c>
      <c r="D8" s="2" t="s">
        <v>32</v>
      </c>
      <c r="E8" s="3">
        <v>24</v>
      </c>
      <c r="G8" s="2" t="s">
        <v>36</v>
      </c>
      <c r="H8" s="4">
        <v>0.35</v>
      </c>
      <c r="J8" s="2" t="s">
        <v>31</v>
      </c>
      <c r="K8" s="3">
        <v>18</v>
      </c>
    </row>
    <row r="9" spans="1:11" x14ac:dyDescent="0.25">
      <c r="A9" s="2" t="s">
        <v>68</v>
      </c>
      <c r="B9" s="16">
        <v>40</v>
      </c>
      <c r="D9" s="2" t="s">
        <v>68</v>
      </c>
      <c r="E9" s="3">
        <v>40</v>
      </c>
      <c r="G9" s="2" t="s">
        <v>51</v>
      </c>
      <c r="H9" s="4">
        <v>0.15</v>
      </c>
      <c r="J9" s="2" t="s">
        <v>66</v>
      </c>
      <c r="K9" s="3">
        <v>3</v>
      </c>
    </row>
    <row r="10" spans="1:11" x14ac:dyDescent="0.25">
      <c r="G10" s="2" t="s">
        <v>68</v>
      </c>
      <c r="H10" s="4">
        <v>1</v>
      </c>
      <c r="J10" s="2" t="s">
        <v>68</v>
      </c>
      <c r="K10" s="3">
        <v>40</v>
      </c>
    </row>
    <row r="13" spans="1:11" ht="15.75" x14ac:dyDescent="0.25">
      <c r="A13" s="11" t="s">
        <v>86</v>
      </c>
      <c r="B13" s="11"/>
      <c r="C13" s="11"/>
      <c r="D13" s="11"/>
      <c r="F13" s="14" t="s">
        <v>106</v>
      </c>
      <c r="G13" s="14"/>
      <c r="H13" s="14"/>
      <c r="I13" s="14"/>
      <c r="J13" s="14"/>
    </row>
    <row r="14" spans="1:11" x14ac:dyDescent="0.25">
      <c r="A14" s="1" t="s">
        <v>85</v>
      </c>
      <c r="B14" s="1" t="s">
        <v>75</v>
      </c>
      <c r="F14" s="1" t="s">
        <v>103</v>
      </c>
      <c r="G14" s="1" t="s">
        <v>75</v>
      </c>
    </row>
    <row r="15" spans="1:11" x14ac:dyDescent="0.25">
      <c r="A15" s="1" t="s">
        <v>67</v>
      </c>
      <c r="B15" t="s">
        <v>54</v>
      </c>
      <c r="C15" t="s">
        <v>30</v>
      </c>
      <c r="D15" t="s">
        <v>60</v>
      </c>
      <c r="F15" s="1" t="s">
        <v>67</v>
      </c>
      <c r="G15" t="s">
        <v>25</v>
      </c>
      <c r="H15" t="s">
        <v>63</v>
      </c>
      <c r="I15" t="s">
        <v>27</v>
      </c>
      <c r="J15" t="s">
        <v>68</v>
      </c>
    </row>
    <row r="16" spans="1:11" x14ac:dyDescent="0.25">
      <c r="A16" s="2" t="s">
        <v>28</v>
      </c>
      <c r="B16" s="3">
        <v>1</v>
      </c>
      <c r="C16" s="3">
        <v>16</v>
      </c>
      <c r="D16" s="3">
        <v>1</v>
      </c>
      <c r="F16" s="2" t="s">
        <v>26</v>
      </c>
      <c r="G16" s="3">
        <v>1</v>
      </c>
      <c r="H16" s="3">
        <v>1</v>
      </c>
      <c r="I16" s="3">
        <v>24</v>
      </c>
      <c r="J16" s="3">
        <v>26</v>
      </c>
    </row>
    <row r="17" spans="1:10" x14ac:dyDescent="0.25">
      <c r="A17" s="2" t="s">
        <v>46</v>
      </c>
      <c r="B17" s="3">
        <v>1</v>
      </c>
      <c r="C17" s="3">
        <v>14</v>
      </c>
      <c r="D17" s="3">
        <v>4</v>
      </c>
      <c r="F17" s="2" t="s">
        <v>62</v>
      </c>
      <c r="G17" s="3"/>
      <c r="H17" s="3">
        <v>5</v>
      </c>
      <c r="I17" s="3">
        <v>6</v>
      </c>
      <c r="J17" s="3">
        <v>11</v>
      </c>
    </row>
    <row r="18" spans="1:10" x14ac:dyDescent="0.25">
      <c r="A18" s="2" t="s">
        <v>53</v>
      </c>
      <c r="B18" s="3">
        <v>1</v>
      </c>
      <c r="C18" s="3">
        <v>1</v>
      </c>
      <c r="D18" s="3"/>
      <c r="F18" s="17" t="s">
        <v>52</v>
      </c>
      <c r="G18" s="18">
        <v>1</v>
      </c>
      <c r="H18" s="18"/>
      <c r="I18" s="18">
        <v>2</v>
      </c>
      <c r="J18" s="18">
        <v>3</v>
      </c>
    </row>
    <row r="19" spans="1:10" x14ac:dyDescent="0.25">
      <c r="A19" s="2" t="s">
        <v>39</v>
      </c>
      <c r="B19" s="3"/>
      <c r="C19" s="3">
        <v>1</v>
      </c>
      <c r="D19" s="3"/>
    </row>
  </sheetData>
  <mergeCells count="6">
    <mergeCell ref="A13:D13"/>
    <mergeCell ref="F13:J13"/>
    <mergeCell ref="A4:B4"/>
    <mergeCell ref="D4:E4"/>
    <mergeCell ref="G4:H4"/>
    <mergeCell ref="J4:K4"/>
  </mergeCells>
  <conditionalFormatting sqref="G4">
    <cfRule type="iconSet" priority="3">
      <iconSet iconSet="3Symbols2">
        <cfvo type="percent" val="0"/>
        <cfvo type="percent" val="33"/>
        <cfvo type="percent" val="67"/>
      </iconSet>
    </cfRule>
  </conditionalFormatting>
  <conditionalFormatting pivot="1" sqref="B16:D19">
    <cfRule type="colorScale" priority="2">
      <colorScale>
        <cfvo type="min"/>
        <cfvo type="percentile" val="50"/>
        <cfvo type="max"/>
        <color rgb="FF5A8AC6"/>
        <color rgb="FFFCFCFF"/>
        <color rgb="FFF8696B"/>
      </colorScale>
    </cfRule>
  </conditionalFormatting>
  <conditionalFormatting pivot="1" sqref="G16:J18">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8F42-C9C4-4ACE-A201-C3661ABE7289}">
  <sheetPr codeName="Sheet6"/>
  <dimension ref="B4:H17"/>
  <sheetViews>
    <sheetView workbookViewId="0">
      <selection activeCell="G14" sqref="G14"/>
    </sheetView>
  </sheetViews>
  <sheetFormatPr defaultRowHeight="15" x14ac:dyDescent="0.25"/>
  <cols>
    <col min="2" max="2" width="19.28515625" bestFit="1" customWidth="1"/>
    <col min="3" max="3" width="17.7109375" bestFit="1" customWidth="1"/>
    <col min="4" max="4" width="17" bestFit="1" customWidth="1"/>
    <col min="6" max="6" width="19" bestFit="1" customWidth="1"/>
    <col min="7" max="7" width="17.7109375" bestFit="1" customWidth="1"/>
    <col min="8" max="8" width="17.42578125" bestFit="1" customWidth="1"/>
  </cols>
  <sheetData>
    <row r="4" spans="2:8" x14ac:dyDescent="0.25">
      <c r="B4" s="14" t="s">
        <v>94</v>
      </c>
      <c r="C4" s="14"/>
      <c r="D4" s="14"/>
      <c r="F4" s="14" t="s">
        <v>93</v>
      </c>
      <c r="G4" s="14"/>
      <c r="H4" s="14"/>
    </row>
    <row r="5" spans="2:8" x14ac:dyDescent="0.25">
      <c r="B5" s="1" t="s">
        <v>67</v>
      </c>
      <c r="C5" t="s">
        <v>87</v>
      </c>
      <c r="D5" t="s">
        <v>88</v>
      </c>
      <c r="F5" s="1" t="s">
        <v>67</v>
      </c>
      <c r="G5" t="s">
        <v>87</v>
      </c>
      <c r="H5" t="s">
        <v>90</v>
      </c>
    </row>
    <row r="6" spans="2:8" x14ac:dyDescent="0.25">
      <c r="B6" s="2" t="s">
        <v>26</v>
      </c>
      <c r="C6" s="16">
        <v>30</v>
      </c>
      <c r="D6" s="4">
        <v>0.75</v>
      </c>
      <c r="F6" s="2" t="s">
        <v>33</v>
      </c>
      <c r="G6" s="16">
        <v>24</v>
      </c>
      <c r="H6" s="4">
        <v>0.6</v>
      </c>
    </row>
    <row r="7" spans="2:8" x14ac:dyDescent="0.25">
      <c r="B7" s="2" t="s">
        <v>42</v>
      </c>
      <c r="C7" s="16">
        <v>8</v>
      </c>
      <c r="D7" s="4">
        <v>0.2</v>
      </c>
      <c r="F7" s="2" t="s">
        <v>55</v>
      </c>
      <c r="G7" s="16">
        <v>13</v>
      </c>
      <c r="H7" s="4">
        <v>0.32500000000000001</v>
      </c>
    </row>
    <row r="8" spans="2:8" x14ac:dyDescent="0.25">
      <c r="B8" s="2" t="s">
        <v>61</v>
      </c>
      <c r="C8" s="16">
        <v>2</v>
      </c>
      <c r="D8" s="4">
        <v>0.05</v>
      </c>
      <c r="F8" s="2" t="s">
        <v>49</v>
      </c>
      <c r="G8" s="16">
        <v>3</v>
      </c>
      <c r="H8" s="4">
        <v>7.4999999999999997E-2</v>
      </c>
    </row>
    <row r="9" spans="2:8" x14ac:dyDescent="0.25">
      <c r="B9" s="2" t="s">
        <v>68</v>
      </c>
      <c r="C9" s="16">
        <v>40</v>
      </c>
      <c r="D9" s="4">
        <v>1</v>
      </c>
      <c r="F9" s="2" t="s">
        <v>68</v>
      </c>
      <c r="G9" s="16">
        <v>40</v>
      </c>
      <c r="H9" s="4">
        <v>1</v>
      </c>
    </row>
    <row r="12" spans="2:8" x14ac:dyDescent="0.25">
      <c r="B12" s="14" t="s">
        <v>92</v>
      </c>
      <c r="C12" s="14"/>
      <c r="D12" s="14"/>
      <c r="F12" s="14" t="s">
        <v>91</v>
      </c>
      <c r="G12" s="14"/>
      <c r="H12" s="14"/>
    </row>
    <row r="13" spans="2:8" x14ac:dyDescent="0.25">
      <c r="B13" s="1" t="s">
        <v>67</v>
      </c>
      <c r="C13" t="s">
        <v>87</v>
      </c>
      <c r="D13" t="s">
        <v>90</v>
      </c>
      <c r="F13" s="1" t="s">
        <v>67</v>
      </c>
      <c r="G13" t="s">
        <v>87</v>
      </c>
      <c r="H13" t="s">
        <v>90</v>
      </c>
    </row>
    <row r="14" spans="2:8" x14ac:dyDescent="0.25">
      <c r="B14" s="2" t="s">
        <v>50</v>
      </c>
      <c r="C14" s="16">
        <v>26</v>
      </c>
      <c r="D14" s="4">
        <v>0.65</v>
      </c>
      <c r="F14" s="2" t="s">
        <v>35</v>
      </c>
      <c r="G14" s="16">
        <v>18</v>
      </c>
      <c r="H14" s="4">
        <v>0.45</v>
      </c>
    </row>
    <row r="15" spans="2:8" x14ac:dyDescent="0.25">
      <c r="B15" s="2" t="s">
        <v>34</v>
      </c>
      <c r="C15" s="16">
        <v>13</v>
      </c>
      <c r="D15" s="4">
        <v>0.32500000000000001</v>
      </c>
      <c r="F15" s="2" t="s">
        <v>43</v>
      </c>
      <c r="G15" s="16">
        <v>3</v>
      </c>
      <c r="H15" s="4">
        <v>7.4999999999999997E-2</v>
      </c>
    </row>
    <row r="16" spans="2:8" x14ac:dyDescent="0.25">
      <c r="B16" s="2" t="s">
        <v>56</v>
      </c>
      <c r="C16" s="16">
        <v>1</v>
      </c>
      <c r="D16" s="4">
        <v>2.5000000000000001E-2</v>
      </c>
      <c r="F16" s="2" t="s">
        <v>58</v>
      </c>
      <c r="G16" s="16">
        <v>19</v>
      </c>
      <c r="H16" s="4">
        <v>0.47499999999999998</v>
      </c>
    </row>
    <row r="17" spans="2:8" x14ac:dyDescent="0.25">
      <c r="B17" s="2" t="s">
        <v>68</v>
      </c>
      <c r="C17" s="16">
        <v>40</v>
      </c>
      <c r="D17" s="4">
        <v>1</v>
      </c>
      <c r="F17" s="2" t="s">
        <v>68</v>
      </c>
      <c r="G17" s="16">
        <v>40</v>
      </c>
      <c r="H17" s="4">
        <v>1</v>
      </c>
    </row>
  </sheetData>
  <mergeCells count="4">
    <mergeCell ref="B4:D4"/>
    <mergeCell ref="F4:H4"/>
    <mergeCell ref="B12:D12"/>
    <mergeCell ref="F12:H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Finance_data</vt:lpstr>
      <vt:lpstr>Demographics Avenues</vt:lpstr>
      <vt:lpstr>Behaviour Motivation</vt:lpstr>
      <vt:lpstr>Avenue Reasons</vt:lpstr>
      <vt:lpstr>AvenueList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Benard Besong</cp:lastModifiedBy>
  <dcterms:created xsi:type="dcterms:W3CDTF">2026-10-23T18:50:22Z</dcterms:created>
  <dcterms:modified xsi:type="dcterms:W3CDTF">2026-10-29T16:51:03Z</dcterms:modified>
</cp:coreProperties>
</file>